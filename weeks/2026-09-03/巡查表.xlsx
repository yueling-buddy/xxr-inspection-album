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巡查表表" sheetId="1" state="visible" r:id="rId1"/>
    <sheet xmlns:r="http://schemas.openxmlformats.org/officeDocument/2006/relationships" name="检查结果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1" fillId="0" borderId="0" applyAlignment="1" pivotButton="0" quotePrefix="0" xfId="0">
      <alignment vertical="center" wrapText="1"/>
    </xf>
    <xf numFmtId="0" fontId="1"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Z14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50" customWidth="1" min="14" max="14"/>
    <col width="22"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s>
  <sheetData>
    <row r="2">
      <c r="A2" s="1" t="inlineStr">
        <is>
          <t>场所类型</t>
        </is>
      </c>
      <c r="B2" s="1" t="inlineStr">
        <is>
          <t>场所名称</t>
        </is>
      </c>
      <c r="C2" s="1" t="inlineStr">
        <is>
          <t>所属辖区</t>
        </is>
      </c>
      <c r="D2" s="1" t="inlineStr">
        <is>
          <t>所属街道</t>
        </is>
      </c>
      <c r="E2" s="1" t="inlineStr">
        <is>
          <t>所属社区</t>
        </is>
      </c>
      <c r="F2" s="1" t="inlineStr">
        <is>
          <t>场所地址</t>
        </is>
      </c>
      <c r="G2" s="1" t="inlineStr">
        <is>
          <t>巡查时段</t>
        </is>
      </c>
      <c r="H2" s="1" t="inlineStr">
        <is>
          <t>巡查员</t>
        </is>
      </c>
      <c r="I2" s="1" t="inlineStr">
        <is>
          <t>联系电话</t>
        </is>
      </c>
      <c r="J2" s="1" t="inlineStr">
        <is>
          <t>巡查反馈</t>
        </is>
      </c>
      <c r="K2" s="1" t="inlineStr">
        <is>
          <t>达标项</t>
        </is>
      </c>
      <c r="L2" s="1" t="inlineStr">
        <is>
          <t>不达标项</t>
        </is>
      </c>
      <c r="M2" s="1" t="inlineStr">
        <is>
          <t>不达标备注</t>
        </is>
      </c>
      <c r="N2" s="2" t="inlineStr">
        <is>
          <t>扣分项</t>
        </is>
      </c>
      <c r="O2" s="3" t="inlineStr">
        <is>
          <t>照片证据</t>
        </is>
      </c>
      <c r="P2" s="1" t="inlineStr">
        <is>
          <t>评测得分</t>
        </is>
      </c>
      <c r="Q2" s="1" t="inlineStr">
        <is>
          <t>是否整改</t>
        </is>
      </c>
      <c r="R2" s="1" t="inlineStr">
        <is>
          <t>状态</t>
        </is>
      </c>
      <c r="S2" s="1" t="inlineStr">
        <is>
          <t>当前进度</t>
        </is>
      </c>
      <c r="T2" s="1" t="inlineStr">
        <is>
          <t>提交日期</t>
        </is>
      </c>
      <c r="U2" s="1" t="inlineStr">
        <is>
          <t>巡查日期</t>
        </is>
      </c>
      <c r="V2" s="1" t="inlineStr">
        <is>
          <t>创建时间</t>
        </is>
      </c>
      <c r="W2" s="1" t="inlineStr">
        <is>
          <t>偏离距离(m)</t>
        </is>
      </c>
      <c r="X2" s="1" t="inlineStr">
        <is>
          <t>原因</t>
        </is>
      </c>
      <c r="Y2" s="1" t="inlineStr">
        <is>
          <t>回头看</t>
        </is>
      </c>
      <c r="Z2" s="1" t="inlineStr">
        <is>
          <t>是否进入核查库</t>
        </is>
      </c>
    </row>
    <row r="3">
      <c r="A3" t="inlineStr">
        <is>
          <t>城中村</t>
        </is>
      </c>
      <c r="B3" t="inlineStr">
        <is>
          <t>隔圳新村</t>
        </is>
      </c>
      <c r="C3" t="inlineStr">
        <is>
          <t>龙华区</t>
        </is>
      </c>
      <c r="D3" t="inlineStr">
        <is>
          <t>民治街道</t>
        </is>
      </c>
      <c r="E3" t="inlineStr">
        <is>
          <t>龙塘社区</t>
        </is>
      </c>
      <c r="F3" t="inlineStr">
        <is>
          <t>龙华区民治街道龙塘社区隔圳新村</t>
        </is>
      </c>
      <c r="G3" t="inlineStr">
        <is>
          <t>日间巡查</t>
        </is>
      </c>
      <c r="H3" t="inlineStr">
        <is>
          <t>程磊</t>
        </is>
      </c>
      <c r="I3" t="inlineStr">
        <is>
          <t>13316950043</t>
        </is>
      </c>
      <c r="K3" t="inlineStr">
        <is>
          <t>28</t>
        </is>
      </c>
      <c r="L3" t="inlineStr">
        <is>
          <t>4</t>
        </is>
      </c>
      <c r="N3" t="inlineStr">
        <is>
          <t>1.6: 设置洗手设施。（2分） (-2)
1.9: 各设施齐全完好，摆放整齐有序，使用功能正常，没有严重破损、陈旧问题，不得拆除投放口盖板支撑杆。（6分） (-4)
1.16: 禁止通过捆绑、卡挡或上锁等方式封闭或遮挡投放口。（4分） (-2)
1.17: 转运桶应在黄线划定区域内摆放整齐并保持全天关闭（作业状态除外），禁止罩外摆桶供居民投放。（6分） (-6)</t>
        </is>
      </c>
      <c r="O3">
        <f>HYPERLINK("https://yueling-buddy.github.io/xxr-inspection-album/weeks/2026-09-03/venue/v-%E9%BE%99%E5%8D%8E%E5%8C%BA%E6%B0%91%E6%B2%BB%E8%A1%97%E9%81%93%E9%BE%99%E5%A1%98%E7%A4%BE%E5%8C%BA%E9%9A%94%E5%9C%B3%E6%96%B0%E6%9D%91_%E9%9A%94%E5%9C%B3%E6%96%B0%E6%9D%91.html","查看证据(4项/10张)")</f>
        <v/>
      </c>
      <c r="P3" t="inlineStr">
        <is>
          <t>86.0</t>
        </is>
      </c>
      <c r="Q3" t="inlineStr">
        <is>
          <t>是</t>
        </is>
      </c>
      <c r="R3" t="inlineStr">
        <is>
          <t>处理进行中</t>
        </is>
      </c>
      <c r="S3" t="inlineStr">
        <is>
          <t>处理人处理</t>
        </is>
      </c>
      <c r="T3" t="inlineStr">
        <is>
          <t>2026-09-10</t>
        </is>
      </c>
      <c r="U3" t="inlineStr">
        <is>
          <t>2026-09-07</t>
        </is>
      </c>
      <c r="V3" t="inlineStr">
        <is>
          <t>2026-09-10 09:16:06.0</t>
        </is>
      </c>
      <c r="W3" t="inlineStr">
        <is>
          <t>12305.52</t>
        </is>
      </c>
      <c r="Y3" t="inlineStr">
        <is>
          <t>是</t>
        </is>
      </c>
      <c r="Z3" t="inlineStr">
        <is>
          <t>是</t>
        </is>
      </c>
    </row>
    <row r="4">
      <c r="A4" t="inlineStr">
        <is>
          <t>住宅小区</t>
        </is>
      </c>
      <c r="B4" t="inlineStr">
        <is>
          <t>星河传奇</t>
        </is>
      </c>
      <c r="C4" t="inlineStr">
        <is>
          <t>龙华区</t>
        </is>
      </c>
      <c r="D4" t="inlineStr">
        <is>
          <t>民治街道</t>
        </is>
      </c>
      <c r="E4" t="inlineStr">
        <is>
          <t>龙塘社区</t>
        </is>
      </c>
      <c r="F4" t="inlineStr">
        <is>
          <t>龙华区民治街道龙塘社区星河传奇</t>
        </is>
      </c>
      <c r="G4" t="inlineStr">
        <is>
          <t>日间巡查</t>
        </is>
      </c>
      <c r="H4" t="inlineStr">
        <is>
          <t>程磊</t>
        </is>
      </c>
      <c r="I4" t="inlineStr">
        <is>
          <t>13316950043</t>
        </is>
      </c>
      <c r="K4" t="inlineStr">
        <is>
          <t>35</t>
        </is>
      </c>
      <c r="L4" t="inlineStr">
        <is>
          <t>1</t>
        </is>
      </c>
      <c r="N4" t="inlineStr">
        <is>
          <t>1.13: 收集容器外壁及内桶保持干净整洁，避免陈旧性脏污，收集容器内无积水。（4分） (-2)</t>
        </is>
      </c>
      <c r="O4">
        <f>HYPERLINK("https://yueling-buddy.github.io/xxr-inspection-album/weeks/2026-09-03/venue/v-%E9%BE%99%E5%8D%8E%E5%8C%BA%E6%B0%91%E6%B2%BB%E8%A1%97%E9%81%93%E9%BE%99%E5%A1%98%E7%A4%BE%E5%8C%BA%E6%98%9F%E6%B2%B3%E4%BC%A0%E5%A5%87_%E6%98%9F%E6%B2%B3%E4%BC%A0%E5%A5%87.html","查看证据(1项/2张)")</f>
        <v/>
      </c>
      <c r="P4" t="inlineStr">
        <is>
          <t>98.0</t>
        </is>
      </c>
      <c r="Q4" t="inlineStr">
        <is>
          <t>是</t>
        </is>
      </c>
      <c r="R4" t="inlineStr">
        <is>
          <t>处理进行中</t>
        </is>
      </c>
      <c r="S4" t="inlineStr">
        <is>
          <t>处理人处理</t>
        </is>
      </c>
      <c r="T4" t="inlineStr">
        <is>
          <t>2026-09-10</t>
        </is>
      </c>
      <c r="U4" t="inlineStr">
        <is>
          <t>2026-09-07</t>
        </is>
      </c>
      <c r="V4" t="inlineStr">
        <is>
          <t>2026-09-10 09:09:41.0</t>
        </is>
      </c>
      <c r="W4" t="inlineStr">
        <is>
          <t>12463.85</t>
        </is>
      </c>
      <c r="Y4" t="inlineStr">
        <is>
          <t>是</t>
        </is>
      </c>
      <c r="Z4" t="inlineStr">
        <is>
          <t>否</t>
        </is>
      </c>
    </row>
    <row r="5">
      <c r="A5" t="inlineStr">
        <is>
          <t>酒店</t>
        </is>
      </c>
      <c r="B5" t="inlineStr">
        <is>
          <t>深圳市悦美佳酒店管理有限公司(维也纳人民南路店）</t>
        </is>
      </c>
      <c r="C5" t="inlineStr">
        <is>
          <t>龙华区</t>
        </is>
      </c>
      <c r="D5" t="inlineStr">
        <is>
          <t>民治街道</t>
        </is>
      </c>
      <c r="E5" t="inlineStr">
        <is>
          <t>大岭社区</t>
        </is>
      </c>
      <c r="F5" t="inlineStr">
        <is>
          <t>广东省深圳市龙华区民治街道松仔园维也纳酒店(龙华人民南路店)</t>
        </is>
      </c>
      <c r="G5" t="inlineStr">
        <is>
          <t>日间巡查</t>
        </is>
      </c>
      <c r="H5" t="inlineStr">
        <is>
          <t>程磊</t>
        </is>
      </c>
      <c r="I5" t="inlineStr">
        <is>
          <t>13316950043</t>
        </is>
      </c>
      <c r="K5" t="inlineStr">
        <is>
          <t>14</t>
        </is>
      </c>
      <c r="L5" t="inlineStr">
        <is>
          <t>2</t>
        </is>
      </c>
      <c r="N5" t="inlineStr">
        <is>
          <t>1.7: 各类收集容器的分类标志完整、正确、清晰。 （9分） (-3)
4.1: 不得主动向消费者提供客房一次性日用品。（10分） (-10)</t>
        </is>
      </c>
      <c r="O5">
        <f>HYPERLINK("https://yueling-buddy.github.io/xxr-inspection-album/weeks/2026-09-03/venue/v-%E5%B9%BF%E4%B8%9C%E7%9C%81%E6%B7%B1%E5%9C%B3%E5%B8%82%E9%BE%99%E5%8D%8E%E5%8C%BA%E6%B0%91%E6%B2%BB%E8%A1%97%E9%81%93%E6%9D%BE%E4%BB%94%E5%9B%AD%E7%BB%B4%E4%B9%9F%E7%BA%B3%E9%85%92%E5%BA%97_%E9%BE%99%E5%8D%8E%E4%BA%BA%E6%B0%91%E5%8D%97%E8%B7%AF%E5%BA%97_%E6%B7%B1%E5%9C%B3%E5%B8%82%E6%82%A6%E7%BE%8E%E4%BD%B3%E9%85%92%E5%BA%97%E7%AE%A1%E7%90%86%E6%9C%89%E9%99%90%E5%85%AC%E5%8F%B8_%E7%BB%B4%E4%B9%9F%E7%BA%B3%E4%BA%BA%E6%B0%91%E5%8D%97%E8%B7%AF%E5%BA%97_.html","查看证据(2项/3张)")</f>
        <v/>
      </c>
      <c r="P5" t="inlineStr">
        <is>
          <t>87.0</t>
        </is>
      </c>
      <c r="Q5" t="inlineStr">
        <is>
          <t>是</t>
        </is>
      </c>
      <c r="R5" t="inlineStr">
        <is>
          <t>处理进行中</t>
        </is>
      </c>
      <c r="S5" t="inlineStr">
        <is>
          <t>处理人处理</t>
        </is>
      </c>
      <c r="T5" t="inlineStr">
        <is>
          <t>2026-09-10</t>
        </is>
      </c>
      <c r="U5" t="inlineStr">
        <is>
          <t>2026-09-07</t>
        </is>
      </c>
      <c r="V5" t="inlineStr">
        <is>
          <t>2026-09-10 09:11:30.0</t>
        </is>
      </c>
      <c r="W5" t="inlineStr">
        <is>
          <t>11844.75</t>
        </is>
      </c>
      <c r="Y5" t="inlineStr">
        <is>
          <t>是</t>
        </is>
      </c>
      <c r="Z5" t="inlineStr">
        <is>
          <t>否</t>
        </is>
      </c>
    </row>
    <row r="6">
      <c r="A6" t="inlineStr">
        <is>
          <t>住宅小区</t>
        </is>
      </c>
      <c r="B6" t="inlineStr">
        <is>
          <t>水榭春天花园</t>
        </is>
      </c>
      <c r="C6" t="inlineStr">
        <is>
          <t>龙华区</t>
        </is>
      </c>
      <c r="D6" t="inlineStr">
        <is>
          <t>民治街道</t>
        </is>
      </c>
      <c r="E6" t="inlineStr">
        <is>
          <t>大岭社区</t>
        </is>
      </c>
      <c r="F6" t="inlineStr">
        <is>
          <t>广东省深圳市龙华区民治街道莱蒙·水榭春天</t>
        </is>
      </c>
      <c r="G6" t="inlineStr">
        <is>
          <t>日间巡查</t>
        </is>
      </c>
      <c r="H6" t="inlineStr">
        <is>
          <t>程磊</t>
        </is>
      </c>
      <c r="I6" t="inlineStr">
        <is>
          <t>13316950043</t>
        </is>
      </c>
      <c r="K6" t="inlineStr">
        <is>
          <t>35</t>
        </is>
      </c>
      <c r="L6" t="inlineStr">
        <is>
          <t>1</t>
        </is>
      </c>
      <c r="N6" t="inlineStr">
        <is>
          <t>1.5: 分类标志完整、正确、清晰，各类垃圾收集容器外罩和内桶的颜色正确。（4分） (-4)</t>
        </is>
      </c>
      <c r="O6">
        <f>HYPERLINK("https://yueling-buddy.github.io/xxr-inspection-album/weeks/2026-09-03/venue/v-%E5%B9%BF%E4%B8%9C%E7%9C%81%E6%B7%B1%E5%9C%B3%E5%B8%82%E9%BE%99%E5%8D%8E%E5%8C%BA%E6%B0%91%E6%B2%BB%E8%A1%97%E9%81%93%E8%8E%B1%E8%92%99_%E6%B0%B4%E6%A6%AD%E6%98%A5%E5%A4%A9_%E6%B0%B4%E6%A6%AD%E6%98%A5%E5%A4%A9%E8%8A%B1%E5%9B%AD.html","查看证据(1项/3张)")</f>
        <v/>
      </c>
      <c r="P6" t="inlineStr">
        <is>
          <t>96.0</t>
        </is>
      </c>
      <c r="Q6" t="inlineStr">
        <is>
          <t>是</t>
        </is>
      </c>
      <c r="R6" t="inlineStr">
        <is>
          <t>处理进行中</t>
        </is>
      </c>
      <c r="S6" t="inlineStr">
        <is>
          <t>处理人处理</t>
        </is>
      </c>
      <c r="T6" t="inlineStr">
        <is>
          <t>2026-09-10</t>
        </is>
      </c>
      <c r="U6" t="inlineStr">
        <is>
          <t>2026-09-07</t>
        </is>
      </c>
      <c r="V6" t="inlineStr">
        <is>
          <t>2026-09-10 09:11:40.0</t>
        </is>
      </c>
      <c r="W6" t="inlineStr">
        <is>
          <t>12145.3</t>
        </is>
      </c>
      <c r="Y6" t="inlineStr">
        <is>
          <t>是</t>
        </is>
      </c>
      <c r="Z6" t="inlineStr">
        <is>
          <t>否</t>
        </is>
      </c>
    </row>
    <row r="7">
      <c r="A7" t="inlineStr">
        <is>
          <t>住宅小区</t>
        </is>
      </c>
      <c r="B7" t="inlineStr">
        <is>
          <t>中航天逸管理处</t>
        </is>
      </c>
      <c r="C7" t="inlineStr">
        <is>
          <t>龙华区</t>
        </is>
      </c>
      <c r="D7" t="inlineStr">
        <is>
          <t>民治街道</t>
        </is>
      </c>
      <c r="E7" t="inlineStr">
        <is>
          <t>大岭社区</t>
        </is>
      </c>
      <c r="F7" t="inlineStr">
        <is>
          <t>广东省深圳市龙华区民治街道腾龙路124天虹购物中心(龙华店)</t>
        </is>
      </c>
      <c r="G7" t="inlineStr">
        <is>
          <t>日间巡查</t>
        </is>
      </c>
      <c r="H7" t="inlineStr">
        <is>
          <t>程磊</t>
        </is>
      </c>
      <c r="I7" t="inlineStr">
        <is>
          <t>13316950043</t>
        </is>
      </c>
      <c r="K7" t="inlineStr">
        <is>
          <t>32</t>
        </is>
      </c>
      <c r="L7" t="inlineStr">
        <is>
          <t>4</t>
        </is>
      </c>
      <c r="N7" t="inlineStr">
        <is>
          <t>1.5: 分类标志完整、正确、清晰，各类垃圾收集容器外罩和内桶的颜色正确。（4分） (-4)
1.6: 设置洗手设施。（2分） (-1)
1.16: 禁止通过捆绑、卡挡或上锁等方式封闭或遮挡投放口。（4分） (-4)
1.17: 转运桶应在黄线划定区域内摆放整齐并保持全天关闭（作业状态除外），禁止罩外摆桶供居民投放。（6分） (-6)</t>
        </is>
      </c>
      <c r="O7">
        <f>HYPERLINK("https://yueling-buddy.github.io/xxr-inspection-album/weeks/2026-09-03/venue/v-%E5%B9%BF%E4%B8%9C%E7%9C%81%E6%B7%B1%E5%9C%B3%E5%B8%82%E9%BE%99%E5%8D%8E%E5%8C%BA%E6%B0%91%E6%B2%BB%E8%A1%97%E9%81%93%E8%85%BE%E9%BE%99%E8%B7%AF124%E5%A4%A9%E8%99%B9%E8%B4%AD%E7%89%A9%E4%B8%AD%E5%BF%83_%E9%BE%99%E5%8D%8E%E5%BA%97_%E4%B8%AD%E8%88%AA%E5%A4%A9%E9%80%B8%E7%AE%A1%E7%90%86%E5%A4%84.html","查看证据(4项/13张)")</f>
        <v/>
      </c>
      <c r="P7" t="inlineStr">
        <is>
          <t>85.0</t>
        </is>
      </c>
      <c r="Q7" t="inlineStr">
        <is>
          <t>是</t>
        </is>
      </c>
      <c r="R7" t="inlineStr">
        <is>
          <t>处理进行中</t>
        </is>
      </c>
      <c r="S7" t="inlineStr">
        <is>
          <t>处理人处理</t>
        </is>
      </c>
      <c r="T7" t="inlineStr">
        <is>
          <t>2026-09-10</t>
        </is>
      </c>
      <c r="U7" t="inlineStr">
        <is>
          <t>2026-09-08</t>
        </is>
      </c>
      <c r="V7" t="inlineStr">
        <is>
          <t>2026-09-10 09:11:57.0</t>
        </is>
      </c>
      <c r="W7" t="inlineStr">
        <is>
          <t>12517.95</t>
        </is>
      </c>
      <c r="Y7" t="inlineStr">
        <is>
          <t>是</t>
        </is>
      </c>
      <c r="Z7" t="inlineStr">
        <is>
          <t>是</t>
        </is>
      </c>
    </row>
    <row r="8">
      <c r="A8" t="inlineStr">
        <is>
          <t>住宅小区</t>
        </is>
      </c>
      <c r="B8" t="inlineStr">
        <is>
          <t>鹏华世家</t>
        </is>
      </c>
      <c r="C8" t="inlineStr">
        <is>
          <t>龙岗区</t>
        </is>
      </c>
      <c r="D8" t="inlineStr">
        <is>
          <t>平湖街道</t>
        </is>
      </c>
      <c r="E8" t="inlineStr">
        <is>
          <t>凤凰社区</t>
        </is>
      </c>
      <c r="F8" t="inlineStr">
        <is>
          <t>广东省深圳市龙岗区平湖街道东都雅苑鹏华世家华府</t>
        </is>
      </c>
      <c r="G8" t="inlineStr">
        <is>
          <t>日间巡查</t>
        </is>
      </c>
      <c r="H8" t="inlineStr">
        <is>
          <t>陈运初</t>
        </is>
      </c>
      <c r="I8" t="inlineStr">
        <is>
          <t>13714739365</t>
        </is>
      </c>
      <c r="K8" t="inlineStr">
        <is>
          <t>35</t>
        </is>
      </c>
      <c r="L8" t="inlineStr">
        <is>
          <t>1</t>
        </is>
      </c>
      <c r="N8" t="inlineStr">
        <is>
          <t>2.1: 设置标识牌，外观使用“深i回收”标识，封闭围挡，地面硬底化。（2分） (-2)</t>
        </is>
      </c>
      <c r="O8">
        <f>HYPERLINK("https://yueling-buddy.github.io/xxr-inspection-album/weeks/2026-09-03/venue/v-%E5%B9%BF%E4%B8%9C%E7%9C%81%E6%B7%B1%E5%9C%B3%E5%B8%82%E9%BE%99%E5%B2%97%E5%8C%BA%E5%B9%B3%E6%B9%96%E8%A1%97%E9%81%93%E4%B8%9C%E9%83%BD%E9%9B%85%E8%8B%91%E9%B9%8F%E5%8D%8E%E4%B8%96%E5%AE%B6%E5%8D%8E%E5%BA%9C_%E9%B9%8F%E5%8D%8E%E4%B8%96%E5%AE%B6.html","查看证据(1项/1张)")</f>
        <v/>
      </c>
      <c r="P8" t="inlineStr">
        <is>
          <t>98.0</t>
        </is>
      </c>
      <c r="Q8" t="inlineStr">
        <is>
          <t>是</t>
        </is>
      </c>
      <c r="R8" t="inlineStr">
        <is>
          <t>处理进行中</t>
        </is>
      </c>
      <c r="S8" t="inlineStr">
        <is>
          <t>处理人处理</t>
        </is>
      </c>
      <c r="T8" t="inlineStr">
        <is>
          <t>2026-09-10</t>
        </is>
      </c>
      <c r="U8" t="inlineStr">
        <is>
          <t>2026-09-09</t>
        </is>
      </c>
      <c r="V8" t="inlineStr">
        <is>
          <t>2026-09-10 09:16:20.0</t>
        </is>
      </c>
      <c r="W8" t="inlineStr">
        <is>
          <t>12426.22</t>
        </is>
      </c>
      <c r="Y8" t="inlineStr">
        <is>
          <t>是</t>
        </is>
      </c>
      <c r="Z8" t="inlineStr">
        <is>
          <t>否</t>
        </is>
      </c>
    </row>
    <row r="9">
      <c r="A9" t="inlineStr">
        <is>
          <t>住宅小区</t>
        </is>
      </c>
      <c r="B9" t="inlineStr">
        <is>
          <t>特力商厦</t>
        </is>
      </c>
      <c r="C9" t="inlineStr">
        <is>
          <t>龙岗区</t>
        </is>
      </c>
      <c r="D9" t="inlineStr">
        <is>
          <t>平湖街道</t>
        </is>
      </c>
      <c r="E9" t="inlineStr">
        <is>
          <t>凤凰社区</t>
        </is>
      </c>
      <c r="F9" t="inlineStr">
        <is>
          <t>龙岗区平湖街道特力商厦</t>
        </is>
      </c>
      <c r="G9" t="inlineStr">
        <is>
          <t>日间巡查</t>
        </is>
      </c>
      <c r="H9" t="inlineStr">
        <is>
          <t>陈运初</t>
        </is>
      </c>
      <c r="I9" t="inlineStr">
        <is>
          <t>13714739365</t>
        </is>
      </c>
      <c r="K9" t="inlineStr">
        <is>
          <t>35</t>
        </is>
      </c>
      <c r="L9" t="inlineStr">
        <is>
          <t>1</t>
        </is>
      </c>
      <c r="N9" t="inlineStr">
        <is>
          <t>1.13: 收集容器外壁及内桶保持干净整洁，避免陈旧性脏污，收集容器内无积水。（4分） (-2)</t>
        </is>
      </c>
      <c r="O9">
        <f>HYPERLINK("https://yueling-buddy.github.io/xxr-inspection-album/weeks/2026-09-03/venue/v-%E9%BE%99%E5%B2%97%E5%8C%BA%E5%B9%B3%E6%B9%96%E8%A1%97%E9%81%93%E7%89%B9%E5%8A%9B%E5%95%86%E5%8E%A6_%E7%89%B9%E5%8A%9B%E5%95%86%E5%8E%A6.html","查看证据(1项/2张)")</f>
        <v/>
      </c>
      <c r="P9" t="inlineStr">
        <is>
          <t>98.0</t>
        </is>
      </c>
      <c r="Q9" t="inlineStr">
        <is>
          <t>是</t>
        </is>
      </c>
      <c r="R9" t="inlineStr">
        <is>
          <t>处理进行中</t>
        </is>
      </c>
      <c r="S9" t="inlineStr">
        <is>
          <t>处理人处理</t>
        </is>
      </c>
      <c r="T9" t="inlineStr">
        <is>
          <t>2026-09-10</t>
        </is>
      </c>
      <c r="U9" t="inlineStr">
        <is>
          <t>2026-09-09</t>
        </is>
      </c>
      <c r="V9" t="inlineStr">
        <is>
          <t>2026-09-10 09:16:33.0</t>
        </is>
      </c>
      <c r="W9" t="inlineStr">
        <is>
          <t>10975.76</t>
        </is>
      </c>
      <c r="Y9" t="inlineStr">
        <is>
          <t>是</t>
        </is>
      </c>
      <c r="Z9" t="inlineStr">
        <is>
          <t>否</t>
        </is>
      </c>
    </row>
    <row r="10">
      <c r="A10" t="inlineStr">
        <is>
          <t>住宅小区</t>
        </is>
      </c>
      <c r="B10" t="inlineStr">
        <is>
          <t>深华业大厦</t>
        </is>
      </c>
      <c r="C10" t="inlineStr">
        <is>
          <t>龙岗区</t>
        </is>
      </c>
      <c r="D10" t="inlineStr">
        <is>
          <t>平湖街道</t>
        </is>
      </c>
      <c r="E10" t="inlineStr">
        <is>
          <t>凤凰社区</t>
        </is>
      </c>
      <c r="F10" t="inlineStr">
        <is>
          <t>龙岗区平湖街道深华业大夏</t>
        </is>
      </c>
      <c r="G10" t="inlineStr">
        <is>
          <t>日间巡查</t>
        </is>
      </c>
      <c r="H10" t="inlineStr">
        <is>
          <t>陈运初</t>
        </is>
      </c>
      <c r="I10" t="inlineStr">
        <is>
          <t>13714739365</t>
        </is>
      </c>
      <c r="K10" t="inlineStr">
        <is>
          <t>34</t>
        </is>
      </c>
      <c r="L10" t="inlineStr">
        <is>
          <t>2</t>
        </is>
      </c>
      <c r="N10" t="inlineStr">
        <is>
          <t>1.17: 转运桶应在黄线划定区域内摆放整齐并保持全天关闭（作业状态除外），禁止罩外摆桶供居民投放。（6分） (-2)
2.1: 设置标识牌，外观使用“深i回收”标识，封闭围挡，地面硬底化。（2分） (-2)</t>
        </is>
      </c>
      <c r="O10">
        <f>HYPERLINK("https://yueling-buddy.github.io/xxr-inspection-album/weeks/2026-09-03/venue/v-%E9%BE%99%E5%B2%97%E5%8C%BA%E5%B9%B3%E6%B9%96%E8%A1%97%E9%81%93%E6%B7%B1%E5%8D%8E%E4%B8%9A%E5%A4%A7%E5%A4%8F_%E6%B7%B1%E5%8D%8E%E4%B8%9A%E5%A4%A7%E5%8E%A6.html","查看证据(2项/3张)")</f>
        <v/>
      </c>
      <c r="P10" t="inlineStr">
        <is>
          <t>96.0</t>
        </is>
      </c>
      <c r="Q10" t="inlineStr">
        <is>
          <t>是</t>
        </is>
      </c>
      <c r="R10" t="inlineStr">
        <is>
          <t>处理进行中</t>
        </is>
      </c>
      <c r="S10" t="inlineStr">
        <is>
          <t>处理人处理</t>
        </is>
      </c>
      <c r="T10" t="inlineStr">
        <is>
          <t>2026-09-10</t>
        </is>
      </c>
      <c r="U10" t="inlineStr">
        <is>
          <t>2026-09-09</t>
        </is>
      </c>
      <c r="V10" t="inlineStr">
        <is>
          <t>2026-09-10 09:18:52.0</t>
        </is>
      </c>
      <c r="W10" t="inlineStr">
        <is>
          <t>10975.76</t>
        </is>
      </c>
      <c r="Y10" t="inlineStr">
        <is>
          <t>是</t>
        </is>
      </c>
      <c r="Z10" t="inlineStr">
        <is>
          <t>是</t>
        </is>
      </c>
    </row>
    <row r="11">
      <c r="A11" t="inlineStr">
        <is>
          <t>学校</t>
        </is>
      </c>
      <c r="B11" t="inlineStr">
        <is>
          <t>中心幼儿园</t>
        </is>
      </c>
      <c r="C11" t="inlineStr">
        <is>
          <t>龙岗区</t>
        </is>
      </c>
      <c r="D11" t="inlineStr">
        <is>
          <t>平湖街道</t>
        </is>
      </c>
      <c r="E11" t="inlineStr">
        <is>
          <t>凤凰社区</t>
        </is>
      </c>
      <c r="F11" t="inlineStr">
        <is>
          <t>深圳市龙岗区平湖街道新园路89号</t>
        </is>
      </c>
      <c r="G11" t="inlineStr">
        <is>
          <t>日间巡查</t>
        </is>
      </c>
      <c r="H11" t="inlineStr">
        <is>
          <t>陈运初</t>
        </is>
      </c>
      <c r="I11" t="inlineStr">
        <is>
          <t>13714739365</t>
        </is>
      </c>
      <c r="K11" t="inlineStr">
        <is>
          <t>19</t>
        </is>
      </c>
      <c r="L11" t="inlineStr">
        <is>
          <t>1</t>
        </is>
      </c>
      <c r="M11" t="inlineStr">
        <is>
          <t>1.其他垃圾分类收集容器颜色不规范</t>
        </is>
      </c>
      <c r="N11" t="inlineStr">
        <is>
          <t>1.6: 各类收集容器的分类标志完整、正确、清晰。 （12分） (-3)</t>
        </is>
      </c>
      <c r="O11">
        <f>HYPERLINK("https://yueling-buddy.github.io/xxr-inspection-album/weeks/2026-09-03/venue/v-%E6%B7%B1%E5%9C%B3%E5%B8%82%E9%BE%99%E5%B2%97%E5%8C%BA%E5%B9%B3%E6%B9%96%E8%A1%97%E9%81%93%E6%96%B0%E5%9B%AD%E8%B7%AF89%E5%8F%B7_%E4%B8%AD%E5%BF%83%E5%B9%BC%E5%84%BF%E5%9B%AD.html","查看证据(1项/1张)")</f>
        <v/>
      </c>
      <c r="P11" t="inlineStr">
        <is>
          <t>97.0</t>
        </is>
      </c>
      <c r="Q11" t="inlineStr">
        <is>
          <t>是</t>
        </is>
      </c>
      <c r="R11" t="inlineStr">
        <is>
          <t>处理进行中</t>
        </is>
      </c>
      <c r="S11" t="inlineStr">
        <is>
          <t>处理人处理</t>
        </is>
      </c>
      <c r="T11" t="inlineStr">
        <is>
          <t>2026-09-10</t>
        </is>
      </c>
      <c r="U11" t="inlineStr">
        <is>
          <t>2026-09-09</t>
        </is>
      </c>
      <c r="V11" t="inlineStr">
        <is>
          <t>2026-09-10 09:19:05.0</t>
        </is>
      </c>
      <c r="W11" t="inlineStr">
        <is>
          <t>12873.57</t>
        </is>
      </c>
      <c r="Y11" t="inlineStr">
        <is>
          <t>否</t>
        </is>
      </c>
      <c r="Z11" t="inlineStr">
        <is>
          <t>否</t>
        </is>
      </c>
    </row>
    <row r="12">
      <c r="A12" t="inlineStr">
        <is>
          <t>城中村</t>
        </is>
      </c>
      <c r="B12" t="inlineStr">
        <is>
          <t>应人石石景小区</t>
        </is>
      </c>
      <c r="C12" t="inlineStr">
        <is>
          <t>宝安区</t>
        </is>
      </c>
      <c r="D12" t="inlineStr">
        <is>
          <t>石岩街道</t>
        </is>
      </c>
      <c r="E12" t="inlineStr">
        <is>
          <t>应人石社区</t>
        </is>
      </c>
      <c r="F12" t="inlineStr">
        <is>
          <t>深圳市宝安区石岩街道石景花园</t>
        </is>
      </c>
      <c r="G12" t="inlineStr">
        <is>
          <t>日间巡查</t>
        </is>
      </c>
      <c r="H12" t="inlineStr">
        <is>
          <t>陈亮</t>
        </is>
      </c>
      <c r="I12" t="inlineStr">
        <is>
          <t>17302662710</t>
        </is>
      </c>
      <c r="K12" t="inlineStr">
        <is>
          <t>30</t>
        </is>
      </c>
      <c r="L12" t="inlineStr">
        <is>
          <t>2</t>
        </is>
      </c>
      <c r="M12" t="inlineStr">
        <is>
          <t>1.位置不合理，较隐蔽，不便于使用</t>
        </is>
      </c>
      <c r="N12" t="inlineStr">
        <is>
          <t>1.9: 各设施齐全完好，摆放整齐有序，使用功能正常，没有严重破损、陈旧问题，不得拆除投放口盖板支撑杆。（6分） (-2)
4.5: 回收箱及周边环境干净整洁，无垃圾满溢、暴露垃圾或杂物堆放等问题。（2分） (-2)</t>
        </is>
      </c>
      <c r="O12">
        <f>HYPERLINK("https://yueling-buddy.github.io/xxr-inspection-album/weeks/2026-09-03/venue/v-%E6%B7%B1%E5%9C%B3%E5%B8%82%E5%AE%9D%E5%AE%89%E5%8C%BA%E7%9F%B3%E5%B2%A9%E8%A1%97%E9%81%93%E7%9F%B3%E6%99%AF%E8%8A%B1%E5%9B%AD_%E5%BA%94%E4%BA%BA%E7%9F%B3%E7%9F%B3%E6%99%AF%E5%B0%8F%E5%8C%BA.html","查看证据(2项/3张)")</f>
        <v/>
      </c>
      <c r="P12" t="inlineStr">
        <is>
          <t>96.0</t>
        </is>
      </c>
      <c r="Q12" t="inlineStr">
        <is>
          <t>是</t>
        </is>
      </c>
      <c r="R12" t="inlineStr">
        <is>
          <t>处理进行中</t>
        </is>
      </c>
      <c r="S12" t="inlineStr">
        <is>
          <t>处理人处理</t>
        </is>
      </c>
      <c r="T12" t="inlineStr">
        <is>
          <t>2026-09-10</t>
        </is>
      </c>
      <c r="U12" t="inlineStr">
        <is>
          <t>2026-09-08</t>
        </is>
      </c>
      <c r="V12" t="inlineStr">
        <is>
          <t>2026-09-10 09:19:09.0</t>
        </is>
      </c>
      <c r="W12" t="inlineStr">
        <is>
          <t>14988.18</t>
        </is>
      </c>
      <c r="Y12" t="inlineStr">
        <is>
          <t>是</t>
        </is>
      </c>
      <c r="Z12" t="inlineStr">
        <is>
          <t>否</t>
        </is>
      </c>
    </row>
    <row r="13">
      <c r="A13" t="inlineStr">
        <is>
          <t>住宅小区</t>
        </is>
      </c>
      <c r="B13" t="inlineStr">
        <is>
          <t>平湖花园</t>
        </is>
      </c>
      <c r="C13" t="inlineStr">
        <is>
          <t>龙岗区</t>
        </is>
      </c>
      <c r="D13" t="inlineStr">
        <is>
          <t>平湖街道</t>
        </is>
      </c>
      <c r="E13" t="inlineStr">
        <is>
          <t>凤凰社区</t>
        </is>
      </c>
      <c r="F13" t="inlineStr">
        <is>
          <t>龙岗区平湖街道平湖花园</t>
        </is>
      </c>
      <c r="G13" t="inlineStr">
        <is>
          <t>日间巡查</t>
        </is>
      </c>
      <c r="H13" t="inlineStr">
        <is>
          <t>陈运初</t>
        </is>
      </c>
      <c r="I13" t="inlineStr">
        <is>
          <t>13714739365</t>
        </is>
      </c>
      <c r="K13" t="inlineStr">
        <is>
          <t>33</t>
        </is>
      </c>
      <c r="L13" t="inlineStr">
        <is>
          <t>3</t>
        </is>
      </c>
      <c r="N13" t="inlineStr">
        <is>
          <t>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13">
        <f>HYPERLINK("https://yueling-buddy.github.io/xxr-inspection-album/weeks/2026-09-03/venue/v-%E9%BE%99%E5%B2%97%E5%8C%BA%E5%B9%B3%E6%B9%96%E8%A1%97%E9%81%93%E5%B9%B3%E6%B9%96%E8%8A%B1%E5%9B%AD_%E5%B9%B3%E6%B9%96%E8%8A%B1%E5%9B%AD.html","查看证据(3项/3张)")</f>
        <v/>
      </c>
      <c r="P13" t="inlineStr">
        <is>
          <t>94.0</t>
        </is>
      </c>
      <c r="Q13" t="inlineStr">
        <is>
          <t>是</t>
        </is>
      </c>
      <c r="R13" t="inlineStr">
        <is>
          <t>处理进行中</t>
        </is>
      </c>
      <c r="S13" t="inlineStr">
        <is>
          <t>处理人处理</t>
        </is>
      </c>
      <c r="T13" t="inlineStr">
        <is>
          <t>2026-09-10</t>
        </is>
      </c>
      <c r="U13" t="inlineStr">
        <is>
          <t>2026-09-09</t>
        </is>
      </c>
      <c r="V13" t="inlineStr">
        <is>
          <t>2026-09-10 09:19:12.0</t>
        </is>
      </c>
      <c r="W13" t="inlineStr">
        <is>
          <t>12791.69</t>
        </is>
      </c>
      <c r="Y13" t="inlineStr">
        <is>
          <t>是</t>
        </is>
      </c>
      <c r="Z13" t="inlineStr">
        <is>
          <t>是</t>
        </is>
      </c>
    </row>
    <row r="14">
      <c r="A14" t="inlineStr">
        <is>
          <t>城中村</t>
        </is>
      </c>
      <c r="B14" t="inlineStr">
        <is>
          <t>围背小区</t>
        </is>
      </c>
      <c r="C14" t="inlineStr">
        <is>
          <t>宝安区</t>
        </is>
      </c>
      <c r="D14" t="inlineStr">
        <is>
          <t>石岩街道</t>
        </is>
      </c>
      <c r="E14" t="inlineStr">
        <is>
          <t>应人石社区</t>
        </is>
      </c>
      <c r="F14" t="inlineStr">
        <is>
          <t>广东省深圳市石岩街道塘头社区塘头围背小区</t>
        </is>
      </c>
      <c r="G14" t="inlineStr">
        <is>
          <t>日间巡查</t>
        </is>
      </c>
      <c r="H14" t="inlineStr">
        <is>
          <t>陈亮</t>
        </is>
      </c>
      <c r="I14" t="inlineStr">
        <is>
          <t>17302662710</t>
        </is>
      </c>
      <c r="K14" t="inlineStr">
        <is>
          <t>24</t>
        </is>
      </c>
      <c r="L14" t="inlineStr">
        <is>
          <t>8</t>
        </is>
      </c>
      <c r="N14" t="inlineStr">
        <is>
          <t>1.1: 设置集中分类投放点，摆放可回收物、厨余垃圾、其他垃圾三类收集容器。（6分） (-2)
1.5: 分类标志完整、正确、清晰，各类垃圾收集容器外罩和内桶的颜色正确。（4分） (-2)
1.6: 设置洗手设施。（2分） (-2)
1.9: 各设施齐全完好，摆放整齐有序，使用功能正常，没有严重破损、陈旧问题，不得拆除投放口盖板支撑杆。（6分） (-2)
1.12: 桶柜式垃圾投放点柜门应全天保持关闭（作业状态除外）。（4分） (-2)
1.13: 收集容器外壁及内桶保持干净整洁，避免陈旧性脏污，收集容器内无积水。（6分） (-3)
1.16: 禁止通过捆绑、卡挡或上锁等方式封闭或遮挡投放口。（4分） (-2)
1.17: 转运桶应在黄线划定区域内摆放整齐并保持全天关闭（作业状态除外），禁止罩外摆桶供居民投放。（6分） (-4)</t>
        </is>
      </c>
      <c r="O14">
        <f>HYPERLINK("https://yueling-buddy.github.io/xxr-inspection-album/weeks/2026-09-03/venue/v-%E5%B9%BF%E4%B8%9C%E7%9C%81%E6%B7%B1%E5%9C%B3%E5%B8%82%E7%9F%B3%E5%B2%A9%E8%A1%97%E9%81%93%E5%A1%98%E5%A4%B4%E7%A4%BE%E5%8C%BA%E5%A1%98%E5%A4%B4%E5%9B%B4%E8%83%8C%E5%B0%8F%E5%8C%BA_%E5%9B%B4%E8%83%8C%E5%B0%8F%E5%8C%BA.html","查看证据(8项/16张)")</f>
        <v/>
      </c>
      <c r="P14" t="inlineStr">
        <is>
          <t>81.0</t>
        </is>
      </c>
      <c r="Q14" t="inlineStr">
        <is>
          <t>是</t>
        </is>
      </c>
      <c r="R14" t="inlineStr">
        <is>
          <t>处理进行中</t>
        </is>
      </c>
      <c r="S14" t="inlineStr">
        <is>
          <t>处理人处理</t>
        </is>
      </c>
      <c r="T14" t="inlineStr">
        <is>
          <t>2026-09-10</t>
        </is>
      </c>
      <c r="U14" t="inlineStr">
        <is>
          <t>2026-09-08</t>
        </is>
      </c>
      <c r="V14" t="inlineStr">
        <is>
          <t>2026-09-10 09:19:20.0</t>
        </is>
      </c>
      <c r="W14" t="inlineStr">
        <is>
          <t>14791.09</t>
        </is>
      </c>
      <c r="Y14" t="inlineStr">
        <is>
          <t>是</t>
        </is>
      </c>
      <c r="Z14" t="inlineStr">
        <is>
          <t>是</t>
        </is>
      </c>
    </row>
    <row r="15">
      <c r="A15" t="inlineStr">
        <is>
          <t>住宅小区</t>
        </is>
      </c>
      <c r="B15" t="inlineStr">
        <is>
          <t>锦冠华庭</t>
        </is>
      </c>
      <c r="C15" t="inlineStr">
        <is>
          <t>龙岗区</t>
        </is>
      </c>
      <c r="D15" t="inlineStr">
        <is>
          <t>平湖街道</t>
        </is>
      </c>
      <c r="E15" t="inlineStr">
        <is>
          <t>凤凰社区</t>
        </is>
      </c>
      <c r="F15" t="inlineStr">
        <is>
          <t>龙岗区平湖街道锦冠华庭</t>
        </is>
      </c>
      <c r="G15" t="inlineStr">
        <is>
          <t>日间巡查</t>
        </is>
      </c>
      <c r="H15" t="inlineStr">
        <is>
          <t>陈运初</t>
        </is>
      </c>
      <c r="I15" t="inlineStr">
        <is>
          <t>13714739365</t>
        </is>
      </c>
      <c r="K15" t="inlineStr">
        <is>
          <t>34</t>
        </is>
      </c>
      <c r="L15" t="inlineStr">
        <is>
          <t>2</t>
        </is>
      </c>
      <c r="N15" t="inlineStr">
        <is>
          <t>1.5: 分类标志完整、正确、清晰，各类垃圾收集容器外罩和内桶的颜色正确。（4分） (-2)
1.14: 各类垃圾及时清运，投放点及其周围环境干净整洁，没有垃圾满溢、暴露垃圾、杂物堆放、严重积水或明显异味等问题。（6分） (-2)</t>
        </is>
      </c>
      <c r="O15">
        <f>HYPERLINK("https://yueling-buddy.github.io/xxr-inspection-album/weeks/2026-09-03/venue/v-%E9%BE%99%E5%B2%97%E5%8C%BA%E5%B9%B3%E6%B9%96%E8%A1%97%E9%81%93%E9%94%A6%E5%86%A0%E5%8D%8E%E5%BA%AD_%E9%94%A6%E5%86%A0%E5%8D%8E%E5%BA%AD.html","查看证据(2项/3张)")</f>
        <v/>
      </c>
      <c r="P15" t="inlineStr">
        <is>
          <t>96.0</t>
        </is>
      </c>
      <c r="Q15" t="inlineStr">
        <is>
          <t>是</t>
        </is>
      </c>
      <c r="R15" t="inlineStr">
        <is>
          <t>处理进行中</t>
        </is>
      </c>
      <c r="S15" t="inlineStr">
        <is>
          <t>处理人处理</t>
        </is>
      </c>
      <c r="T15" t="inlineStr">
        <is>
          <t>2026-09-10</t>
        </is>
      </c>
      <c r="U15" t="inlineStr">
        <is>
          <t>2026-09-09</t>
        </is>
      </c>
      <c r="V15" t="inlineStr">
        <is>
          <t>2026-09-10 09:19:23.0</t>
        </is>
      </c>
      <c r="W15" t="inlineStr">
        <is>
          <t>12740.49</t>
        </is>
      </c>
      <c r="Y15" t="inlineStr">
        <is>
          <t>是</t>
        </is>
      </c>
      <c r="Z15" t="inlineStr">
        <is>
          <t>否</t>
        </is>
      </c>
    </row>
    <row r="16">
      <c r="A16" t="inlineStr">
        <is>
          <t>城中村</t>
        </is>
      </c>
      <c r="B16" t="inlineStr">
        <is>
          <t>塘头又一村</t>
        </is>
      </c>
      <c r="C16" t="inlineStr">
        <is>
          <t>宝安区</t>
        </is>
      </c>
      <c r="D16" t="inlineStr">
        <is>
          <t>石岩街道</t>
        </is>
      </c>
      <c r="E16" t="inlineStr">
        <is>
          <t>塘头社区</t>
        </is>
      </c>
      <c r="F16" t="inlineStr">
        <is>
          <t>广东省深圳市宝安区石岩街道塘头又一村</t>
        </is>
      </c>
      <c r="G16" t="inlineStr">
        <is>
          <t>日间巡查</t>
        </is>
      </c>
      <c r="H16" t="inlineStr">
        <is>
          <t>陈亮</t>
        </is>
      </c>
      <c r="I16" t="inlineStr">
        <is>
          <t>17302662710</t>
        </is>
      </c>
      <c r="K16" t="inlineStr">
        <is>
          <t>29</t>
        </is>
      </c>
      <c r="L16" t="inlineStr">
        <is>
          <t>3</t>
        </is>
      </c>
      <c r="N16" t="inlineStr">
        <is>
          <t>1.8: 设置公示牌，清晰公示管理责任人和电话、专项垃圾暂存点和废旧织物回收箱位置、厨余垃圾投放时段、各类垃圾收运处理企业等信息。（4分） (-4)
2.4: 暂存点及其周围环境干净整洁，没有污水积聚或散落垃圾，禁止存放易燃易爆危险品，禁止违规接电、住人。（2分） (-2)
4.5: 回收箱及周边环境干净整洁，无垃圾满溢、暴露垃圾或杂物堆放等问题。（2分） (-2)</t>
        </is>
      </c>
      <c r="O16">
        <f>HYPERLINK("https://yueling-buddy.github.io/xxr-inspection-album/weeks/2026-09-03/venue/v-%E5%B9%BF%E4%B8%9C%E7%9C%81%E6%B7%B1%E5%9C%B3%E5%B8%82%E5%AE%9D%E5%AE%89%E5%8C%BA%E7%9F%B3%E5%B2%A9%E8%A1%97%E9%81%93%E5%A1%98%E5%A4%B4%E5%8F%88%E4%B8%80%E6%9D%91_%E5%A1%98%E5%A4%B4%E5%8F%88%E4%B8%80%E6%9D%91.html","查看证据(3项/7张)")</f>
        <v/>
      </c>
      <c r="P16" t="inlineStr">
        <is>
          <t>92.0</t>
        </is>
      </c>
      <c r="Q16" t="inlineStr">
        <is>
          <t>是</t>
        </is>
      </c>
      <c r="R16" t="inlineStr">
        <is>
          <t>处理进行中</t>
        </is>
      </c>
      <c r="S16" t="inlineStr">
        <is>
          <t>处理人处理</t>
        </is>
      </c>
      <c r="T16" t="inlineStr">
        <is>
          <t>2026-09-10</t>
        </is>
      </c>
      <c r="U16" t="inlineStr">
        <is>
          <t>2026-09-08</t>
        </is>
      </c>
      <c r="V16" t="inlineStr">
        <is>
          <t>2026-09-10 09:19:31.0</t>
        </is>
      </c>
      <c r="W16" t="inlineStr">
        <is>
          <t>15949.46</t>
        </is>
      </c>
      <c r="Y16" t="inlineStr">
        <is>
          <t>是</t>
        </is>
      </c>
      <c r="Z16" t="inlineStr">
        <is>
          <t>否</t>
        </is>
      </c>
    </row>
    <row r="17">
      <c r="A17" t="inlineStr">
        <is>
          <t>集贸市场</t>
        </is>
      </c>
      <c r="B17" t="inlineStr">
        <is>
          <t>荔园市场</t>
        </is>
      </c>
      <c r="C17" t="inlineStr">
        <is>
          <t>龙岗区</t>
        </is>
      </c>
      <c r="D17" t="inlineStr">
        <is>
          <t>平湖街道</t>
        </is>
      </c>
      <c r="E17" t="inlineStr">
        <is>
          <t>凤凰社区</t>
        </is>
      </c>
      <c r="F17" t="inlineStr">
        <is>
          <t>龙岗区裕和南街2-38号</t>
        </is>
      </c>
      <c r="G17" t="inlineStr">
        <is>
          <t>日间巡查</t>
        </is>
      </c>
      <c r="H17" t="inlineStr">
        <is>
          <t>陈运初</t>
        </is>
      </c>
      <c r="I17" t="inlineStr">
        <is>
          <t>13714739365</t>
        </is>
      </c>
      <c r="K17" t="inlineStr">
        <is>
          <t>9</t>
        </is>
      </c>
      <c r="L17" t="inlineStr">
        <is>
          <t>3</t>
        </is>
      </c>
      <c r="N17" t="inlineStr">
        <is>
          <t>1.3: 各类收集容器的分类标志完整、正确、清晰。 (-3)
1.4: 各设施齐全完好，摆放整齐有序，使用功能正常，没有严重破损、陈旧问题。 (-3)
2.2: 收集容器、暂存点及其周围环境干净整洁，无垃圾满溢、暴露垃圾，无杂物堆放。 (-3)</t>
        </is>
      </c>
      <c r="O17">
        <f>HYPERLINK("https://yueling-buddy.github.io/xxr-inspection-album/weeks/2026-09-03/venue/v-%E9%BE%99%E5%B2%97%E5%8C%BA%E8%A3%95%E5%92%8C%E5%8D%97%E8%A1%972_38%E5%8F%B7_%E8%8D%94%E5%9B%AD%E5%B8%82%E5%9C%BA.html","查看证据(3项/5张)")</f>
        <v/>
      </c>
      <c r="P17" t="inlineStr">
        <is>
          <t>91.0</t>
        </is>
      </c>
      <c r="Q17" t="inlineStr">
        <is>
          <t>是</t>
        </is>
      </c>
      <c r="R17" t="inlineStr">
        <is>
          <t>处理进行中</t>
        </is>
      </c>
      <c r="S17" t="inlineStr">
        <is>
          <t>处理人处理</t>
        </is>
      </c>
      <c r="T17" t="inlineStr">
        <is>
          <t>2026-09-10</t>
        </is>
      </c>
      <c r="U17" t="inlineStr">
        <is>
          <t>2026-09-09</t>
        </is>
      </c>
      <c r="V17" t="inlineStr">
        <is>
          <t>2026-09-10 09:19:35.0</t>
        </is>
      </c>
      <c r="W17" t="inlineStr">
        <is>
          <t>11750.39</t>
        </is>
      </c>
      <c r="Y17" t="inlineStr">
        <is>
          <t>否</t>
        </is>
      </c>
      <c r="Z17" t="inlineStr">
        <is>
          <t>否</t>
        </is>
      </c>
    </row>
    <row r="18">
      <c r="A18" t="inlineStr">
        <is>
          <t>住宅小区</t>
        </is>
      </c>
      <c r="B18" t="inlineStr">
        <is>
          <t>鲁班大厦</t>
        </is>
      </c>
      <c r="C18" t="inlineStr">
        <is>
          <t>福田区</t>
        </is>
      </c>
      <c r="D18" t="inlineStr">
        <is>
          <t>莲花街道</t>
        </is>
      </c>
      <c r="E18" t="inlineStr">
        <is>
          <t>狮岭社区</t>
        </is>
      </c>
      <c r="F18" t="inlineStr">
        <is>
          <t>福田区红荔西路7022号</t>
        </is>
      </c>
      <c r="G18" t="inlineStr">
        <is>
          <t>日间巡查</t>
        </is>
      </c>
      <c r="H18" t="inlineStr">
        <is>
          <t>陈亮</t>
        </is>
      </c>
      <c r="I18" t="inlineStr">
        <is>
          <t>17302662710</t>
        </is>
      </c>
      <c r="K18" t="inlineStr">
        <is>
          <t>33</t>
        </is>
      </c>
      <c r="L18" t="inlineStr">
        <is>
          <t>3</t>
        </is>
      </c>
      <c r="N18" t="inlineStr">
        <is>
          <t>1.5: 分类标志完整、正确、清晰，各类垃圾收集容器外罩和内桶的颜色正确。（4分）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18">
        <f>HYPERLINK("https://yueling-buddy.github.io/xxr-inspection-album/weeks/2026-09-03/venue/v-%E7%A6%8F%E7%94%B0%E5%8C%BA%E7%BA%A2%E8%8D%94%E8%A5%BF%E8%B7%AF7022%E5%8F%B7_%E9%B2%81%E7%8F%AD%E5%A4%A7%E5%8E%A6.html","查看证据(3项/3张)")</f>
        <v/>
      </c>
      <c r="P18" t="inlineStr">
        <is>
          <t>94.0</t>
        </is>
      </c>
      <c r="Q18" t="inlineStr">
        <is>
          <t>是</t>
        </is>
      </c>
      <c r="R18" t="inlineStr">
        <is>
          <t>处理进行中</t>
        </is>
      </c>
      <c r="S18" t="inlineStr">
        <is>
          <t>处理人处理</t>
        </is>
      </c>
      <c r="T18" t="inlineStr">
        <is>
          <t>2026-09-09</t>
        </is>
      </c>
      <c r="U18" t="inlineStr">
        <is>
          <t>2026-09-09</t>
        </is>
      </c>
      <c r="V18" t="inlineStr">
        <is>
          <t>2026-09-09 17:57:29.0</t>
        </is>
      </c>
      <c r="W18" t="inlineStr">
        <is>
          <t>12124.08</t>
        </is>
      </c>
      <c r="Y18" t="inlineStr">
        <is>
          <t>是</t>
        </is>
      </c>
      <c r="Z18" t="inlineStr">
        <is>
          <t>是</t>
        </is>
      </c>
    </row>
    <row r="19">
      <c r="A19" t="inlineStr">
        <is>
          <t>住宅小区</t>
        </is>
      </c>
      <c r="B19" t="inlineStr">
        <is>
          <t>市政大院</t>
        </is>
      </c>
      <c r="C19" t="inlineStr">
        <is>
          <t>福田区</t>
        </is>
      </c>
      <c r="D19" t="inlineStr">
        <is>
          <t>莲花街道</t>
        </is>
      </c>
      <c r="E19" t="inlineStr">
        <is>
          <t>狮岭社区</t>
        </is>
      </c>
      <c r="F19" t="inlineStr">
        <is>
          <t>福田区红荔西路7024号</t>
        </is>
      </c>
      <c r="G19" t="inlineStr">
        <is>
          <t>日间巡查</t>
        </is>
      </c>
      <c r="H19" t="inlineStr">
        <is>
          <t>陈亮</t>
        </is>
      </c>
      <c r="I19" t="inlineStr">
        <is>
          <t>17302662710</t>
        </is>
      </c>
      <c r="K19" t="inlineStr">
        <is>
          <t>33</t>
        </is>
      </c>
      <c r="L19" t="inlineStr">
        <is>
          <t>3</t>
        </is>
      </c>
      <c r="N19" t="inlineStr">
        <is>
          <t>1.1: 设置集中分类投放点，摆放可回收物、厨余垃圾、其他垃圾三类收集容器。（6分） (-2)
1.9: 各设施齐全完好，摆放整齐有序，使用功能正常，没有严重破损、陈旧问题，不得拆除投放口盖板支撑杆。（6分） (-2)
1.17: 转运桶应在黄线划定区域内摆放整齐并保持全天关闭（作业状态除外），禁止罩外摆桶供居民投放。（6分） (-6)</t>
        </is>
      </c>
      <c r="O19">
        <f>HYPERLINK("https://yueling-buddy.github.io/xxr-inspection-album/weeks/2026-09-03/venue/v-%E7%A6%8F%E7%94%B0%E5%8C%BA%E7%BA%A2%E8%8D%94%E8%A5%BF%E8%B7%AF7024%E5%8F%B7_%E5%B8%82%E6%94%BF%E5%A4%A7%E9%99%A2.html","查看证据(3项/6张)")</f>
        <v/>
      </c>
      <c r="P19" t="inlineStr">
        <is>
          <t>90.0</t>
        </is>
      </c>
      <c r="Q19" t="inlineStr">
        <is>
          <t>是</t>
        </is>
      </c>
      <c r="R19" t="inlineStr">
        <is>
          <t>处理进行中</t>
        </is>
      </c>
      <c r="S19" t="inlineStr">
        <is>
          <t>处理人处理</t>
        </is>
      </c>
      <c r="T19" t="inlineStr">
        <is>
          <t>2026-09-09</t>
        </is>
      </c>
      <c r="U19" t="inlineStr">
        <is>
          <t>2026-09-09</t>
        </is>
      </c>
      <c r="V19" t="inlineStr">
        <is>
          <t>2026-09-09 17:57:57.0</t>
        </is>
      </c>
      <c r="W19" t="inlineStr">
        <is>
          <t>12040.51</t>
        </is>
      </c>
      <c r="Y19" t="inlineStr">
        <is>
          <t>否</t>
        </is>
      </c>
      <c r="Z19" t="inlineStr">
        <is>
          <t>是</t>
        </is>
      </c>
    </row>
    <row r="20">
      <c r="A20" t="inlineStr">
        <is>
          <t>住宅小区</t>
        </is>
      </c>
      <c r="B20" t="inlineStr">
        <is>
          <t>擎天华庭</t>
        </is>
      </c>
      <c r="C20" t="inlineStr">
        <is>
          <t>福田区</t>
        </is>
      </c>
      <c r="D20" t="inlineStr">
        <is>
          <t>莲花街道</t>
        </is>
      </c>
      <c r="E20" t="inlineStr">
        <is>
          <t>狮岭社区</t>
        </is>
      </c>
      <c r="F20" t="inlineStr">
        <is>
          <t>福田区景田路77号</t>
        </is>
      </c>
      <c r="G20" t="inlineStr">
        <is>
          <t>日间巡查</t>
        </is>
      </c>
      <c r="H20" t="inlineStr">
        <is>
          <t>陈亮</t>
        </is>
      </c>
      <c r="I20" t="inlineStr">
        <is>
          <t>17302662710</t>
        </is>
      </c>
      <c r="K20" t="inlineStr">
        <is>
          <t>33</t>
        </is>
      </c>
      <c r="L20" t="inlineStr">
        <is>
          <t>3</t>
        </is>
      </c>
      <c r="M20" t="inlineStr">
        <is>
          <t>1.未张贴深i回收标识</t>
        </is>
      </c>
      <c r="N20" t="inlineStr">
        <is>
          <t>1.8: 设置公示牌，清晰公示管理责任人和电话、专项垃圾暂存点和废旧织物回收箱位置、厨余垃圾投放时段、各类垃圾收运处理企业等信息。（4分） (-2)
2.1: 设置标识牌，外观使用“深i回收”标识，封闭围挡，地面硬底化。（2分） (-2)
6.1: 公共区域宣传栏张贴垃圾分类投放指引或宣传海报。（2分） (-2)</t>
        </is>
      </c>
      <c r="O20">
        <f>HYPERLINK("https://yueling-buddy.github.io/xxr-inspection-album/weeks/2026-09-03/venue/v-%E7%A6%8F%E7%94%B0%E5%8C%BA%E6%99%AF%E7%94%B0%E8%B7%AF77%E5%8F%B7_%E6%93%8E%E5%A4%A9%E5%8D%8E%E5%BA%AD.html","查看证据(3项/4张)")</f>
        <v/>
      </c>
      <c r="P20" t="inlineStr">
        <is>
          <t>94.0</t>
        </is>
      </c>
      <c r="Q20" t="inlineStr">
        <is>
          <t>是</t>
        </is>
      </c>
      <c r="R20" t="inlineStr">
        <is>
          <t>处理进行中</t>
        </is>
      </c>
      <c r="S20" t="inlineStr">
        <is>
          <t>处理人处理</t>
        </is>
      </c>
      <c r="T20" t="inlineStr">
        <is>
          <t>2026-09-09</t>
        </is>
      </c>
      <c r="U20" t="inlineStr">
        <is>
          <t>2026-09-09</t>
        </is>
      </c>
      <c r="V20" t="inlineStr">
        <is>
          <t>2026-09-09 17:58:05.0</t>
        </is>
      </c>
      <c r="W20" t="inlineStr">
        <is>
          <t>12280.63</t>
        </is>
      </c>
      <c r="Y20" t="inlineStr">
        <is>
          <t>是</t>
        </is>
      </c>
      <c r="Z20" t="inlineStr">
        <is>
          <t>否</t>
        </is>
      </c>
    </row>
    <row r="21">
      <c r="A21" t="inlineStr">
        <is>
          <t>住宅小区</t>
        </is>
      </c>
      <c r="B21" t="inlineStr">
        <is>
          <t>翠景园</t>
        </is>
      </c>
      <c r="C21" t="inlineStr">
        <is>
          <t>福田区</t>
        </is>
      </c>
      <c r="D21" t="inlineStr">
        <is>
          <t>莲花街道</t>
        </is>
      </c>
      <c r="E21" t="inlineStr">
        <is>
          <t>狮岭社区</t>
        </is>
      </c>
      <c r="F21" t="inlineStr">
        <is>
          <t>福田区商报路18号</t>
        </is>
      </c>
      <c r="G21" t="inlineStr">
        <is>
          <t>日间巡查</t>
        </is>
      </c>
      <c r="H21" t="inlineStr">
        <is>
          <t>陈亮</t>
        </is>
      </c>
      <c r="I21" t="inlineStr">
        <is>
          <t>17302662710</t>
        </is>
      </c>
      <c r="K21" t="inlineStr">
        <is>
          <t>32</t>
        </is>
      </c>
      <c r="L21" t="inlineStr">
        <is>
          <t>4</t>
        </is>
      </c>
      <c r="M21" t="inlineStr">
        <is>
          <t>1.未张贴深i回收标识</t>
        </is>
      </c>
      <c r="N21" t="inlineStr">
        <is>
          <t>1.9: 各设施齐全完好，摆放整齐有序，使用功能正常，没有严重破损、陈旧问题，不得拆除投放口盖板支撑杆。（6分） (-2)
1.17: 转运桶应在黄线划定区域内摆放整齐并保持全天关闭（作业状态除外），禁止罩外摆桶供居民投放。（6分） (-2)
2.1: 设置标识牌，外观使用“深i回收”标识，封闭围挡，地面硬底化。（2分） (-2)
6.1: 公共区域宣传栏张贴垃圾分类投放指引或宣传海报。（2分） (-2)</t>
        </is>
      </c>
      <c r="O21">
        <f>HYPERLINK("https://yueling-buddy.github.io/xxr-inspection-album/weeks/2026-09-03/venue/v-%E7%A6%8F%E7%94%B0%E5%8C%BA%E5%95%86%E6%8A%A5%E8%B7%AF18%E5%8F%B7_%E7%BF%A0%E6%99%AF%E5%9B%AD.html","查看证据(4项/5张)")</f>
        <v/>
      </c>
      <c r="P21" t="inlineStr">
        <is>
          <t>92.0</t>
        </is>
      </c>
      <c r="Q21" t="inlineStr">
        <is>
          <t>是</t>
        </is>
      </c>
      <c r="R21" t="inlineStr">
        <is>
          <t>处理进行中</t>
        </is>
      </c>
      <c r="S21" t="inlineStr">
        <is>
          <t>处理人处理</t>
        </is>
      </c>
      <c r="T21" t="inlineStr">
        <is>
          <t>2026-09-09</t>
        </is>
      </c>
      <c r="U21" t="inlineStr">
        <is>
          <t>2026-09-09</t>
        </is>
      </c>
      <c r="V21" t="inlineStr">
        <is>
          <t>2026-09-09 17:58:08.0</t>
        </is>
      </c>
      <c r="W21" t="inlineStr">
        <is>
          <t>12199.77</t>
        </is>
      </c>
      <c r="Y21" t="inlineStr">
        <is>
          <t>是</t>
        </is>
      </c>
      <c r="Z21" t="inlineStr">
        <is>
          <t>是</t>
        </is>
      </c>
    </row>
    <row r="22">
      <c r="A22" t="inlineStr">
        <is>
          <t>住宅小区</t>
        </is>
      </c>
      <c r="B22" t="inlineStr">
        <is>
          <t>惠名花园</t>
        </is>
      </c>
      <c r="C22" t="inlineStr">
        <is>
          <t>罗湖区</t>
        </is>
      </c>
      <c r="D22" t="inlineStr">
        <is>
          <t>莲塘街道</t>
        </is>
      </c>
      <c r="E22" t="inlineStr">
        <is>
          <t>长岭社区</t>
        </is>
      </c>
      <c r="F22" t="inlineStr">
        <is>
          <t>深圳市罗湖区罗沙路2031号</t>
        </is>
      </c>
      <c r="G22" t="inlineStr">
        <is>
          <t>日间巡查</t>
        </is>
      </c>
      <c r="H22" t="inlineStr">
        <is>
          <t>胡正负</t>
        </is>
      </c>
      <c r="I22" t="inlineStr">
        <is>
          <t>13723402248</t>
        </is>
      </c>
      <c r="K22" t="inlineStr">
        <is>
          <t>31</t>
        </is>
      </c>
      <c r="L22" t="inlineStr">
        <is>
          <t>5</t>
        </is>
      </c>
      <c r="N22" t="inlineStr">
        <is>
          <t>1.6: 设置洗手设施。（2分） (-1)
1.13: 收集容器外壁及内桶保持干净整洁，避免陈旧性脏污，收集容器内无积水。（4分） (-4)
1.14: 各类垃圾及时清运，投放点及其周围环境干净整洁，没有垃圾满溢、暴露垃圾、杂物堆放、严重积水或明显异味等问题。（6分） (-2)
1.16: 禁止通过捆绑、卡挡或上锁等方式封闭或遮挡投放口。（4分） (-2)
3.1: 各类垃圾及时清运。（2分） (-2)</t>
        </is>
      </c>
      <c r="O22">
        <f>HYPERLINK("https://yueling-buddy.github.io/xxr-inspection-album/weeks/2026-09-03/venue/v-%E6%B7%B1%E5%9C%B3%E5%B8%82%E7%BD%97%E6%B9%96%E5%8C%BA%E7%BD%97%E6%B2%99%E8%B7%AF2031%E5%8F%B7_%E6%83%A0%E5%90%8D%E8%8A%B1%E5%9B%AD.html","查看证据(5项/11张)")</f>
        <v/>
      </c>
      <c r="P22" t="inlineStr">
        <is>
          <t>89.0</t>
        </is>
      </c>
      <c r="Q22" t="inlineStr">
        <is>
          <t>是</t>
        </is>
      </c>
      <c r="R22" t="inlineStr">
        <is>
          <t>处理进行中</t>
        </is>
      </c>
      <c r="S22" t="inlineStr">
        <is>
          <t>处理人处理</t>
        </is>
      </c>
      <c r="T22" t="inlineStr">
        <is>
          <t>2026-09-09</t>
        </is>
      </c>
      <c r="U22" t="inlineStr">
        <is>
          <t>2026-09-09</t>
        </is>
      </c>
      <c r="V22" t="inlineStr">
        <is>
          <t>2026-09-09 17:58:23.0</t>
        </is>
      </c>
      <c r="W22" t="inlineStr">
        <is>
          <t>15027.55</t>
        </is>
      </c>
      <c r="Y22" t="inlineStr">
        <is>
          <t>是</t>
        </is>
      </c>
      <c r="Z22" t="inlineStr">
        <is>
          <t>是</t>
        </is>
      </c>
    </row>
    <row r="23">
      <c r="A23" t="inlineStr">
        <is>
          <t>机关事业单位办公场所</t>
        </is>
      </c>
      <c r="B23" t="inlineStr">
        <is>
          <t>长岭社区工作站</t>
        </is>
      </c>
      <c r="C23" t="inlineStr">
        <is>
          <t>罗湖区</t>
        </is>
      </c>
      <c r="D23" t="inlineStr">
        <is>
          <t>莲塘街道</t>
        </is>
      </c>
      <c r="E23" t="inlineStr">
        <is>
          <t>长岭社区</t>
        </is>
      </c>
      <c r="F23" t="inlineStr">
        <is>
          <t>深圳市罗湖区长岭路13-2</t>
        </is>
      </c>
      <c r="G23" t="inlineStr">
        <is>
          <t>日间巡查</t>
        </is>
      </c>
      <c r="H23" t="inlineStr">
        <is>
          <t>胡正负</t>
        </is>
      </c>
      <c r="I23" t="inlineStr">
        <is>
          <t>13723402248</t>
        </is>
      </c>
      <c r="K23" t="inlineStr">
        <is>
          <t>16</t>
        </is>
      </c>
      <c r="L23" t="inlineStr">
        <is>
          <t>1</t>
        </is>
      </c>
      <c r="N23" t="inlineStr">
        <is>
          <t>1.6: 各类收集容器的分类标志完整、正确、清晰。 （12分） (-3)</t>
        </is>
      </c>
      <c r="O23">
        <f>HYPERLINK("https://yueling-buddy.github.io/xxr-inspection-album/weeks/2026-09-03/venue/v-%E6%B7%B1%E5%9C%B3%E5%B8%82%E7%BD%97%E6%B9%96%E5%8C%BA%E9%95%BF%E5%B2%AD%E8%B7%AF13_2_%E9%95%BF%E5%B2%AD%E7%A4%BE%E5%8C%BA%E5%B7%A5%E4%BD%9C%E7%AB%99.html","查看证据(1项/2张)")</f>
        <v/>
      </c>
      <c r="P23" t="inlineStr">
        <is>
          <t>94.0</t>
        </is>
      </c>
      <c r="Q23" t="inlineStr">
        <is>
          <t>是</t>
        </is>
      </c>
      <c r="R23" t="inlineStr">
        <is>
          <t>处理进行中</t>
        </is>
      </c>
      <c r="S23" t="inlineStr">
        <is>
          <t>处理人处理</t>
        </is>
      </c>
      <c r="T23" t="inlineStr">
        <is>
          <t>2026-09-09</t>
        </is>
      </c>
      <c r="U23" t="inlineStr">
        <is>
          <t>2026-09-09</t>
        </is>
      </c>
      <c r="V23" t="inlineStr">
        <is>
          <t>2026-09-09 17:58:29.0</t>
        </is>
      </c>
      <c r="W23" t="inlineStr">
        <is>
          <t>15227.18</t>
        </is>
      </c>
      <c r="Y23" t="inlineStr">
        <is>
          <t>否</t>
        </is>
      </c>
      <c r="Z23" t="inlineStr">
        <is>
          <t>否</t>
        </is>
      </c>
    </row>
    <row r="24">
      <c r="A24" t="inlineStr">
        <is>
          <t>餐饮场所</t>
        </is>
      </c>
      <c r="B24" t="inlineStr">
        <is>
          <t>原汁原味驴庄餐厅</t>
        </is>
      </c>
      <c r="C24" t="inlineStr">
        <is>
          <t>罗湖区</t>
        </is>
      </c>
      <c r="D24" t="inlineStr">
        <is>
          <t>莲塘街道</t>
        </is>
      </c>
      <c r="E24" t="inlineStr">
        <is>
          <t>长岭社区</t>
        </is>
      </c>
      <c r="F24" t="inlineStr">
        <is>
          <t>深圳市罗湖区罗沙路2031号惠名花园东门院内101</t>
        </is>
      </c>
      <c r="G24" t="inlineStr">
        <is>
          <t>日间巡查</t>
        </is>
      </c>
      <c r="H24" t="inlineStr">
        <is>
          <t>胡正负</t>
        </is>
      </c>
      <c r="I24" t="inlineStr">
        <is>
          <t>13723402248</t>
        </is>
      </c>
      <c r="K24" t="inlineStr">
        <is>
          <t>9</t>
        </is>
      </c>
      <c r="L24" t="inlineStr">
        <is>
          <t>2</t>
        </is>
      </c>
      <c r="N24" t="inlineStr">
        <is>
          <t>1.1: 后厨区摆放可回收物、厨余垃圾、其他垃圾收集容器。（6分） (-6)
1.3: 各类收集容器的分类标志完整、正确、清晰。 （18分） (-3)</t>
        </is>
      </c>
      <c r="O24">
        <f>HYPERLINK("https://yueling-buddy.github.io/xxr-inspection-album/weeks/2026-09-03/venue/v-%E6%B7%B1%E5%9C%B3%E5%B8%82%E7%BD%97%E6%B9%96%E5%8C%BA%E7%BD%97%E6%B2%99%E8%B7%AF2031%E5%8F%B7%E6%83%A0%E5%90%8D%E8%8A%B1%E5%9B%AD%E4%B8%9C%E9%97%A8%E9%99%A2%E5%86%85101_%E5%8E%9F%E6%B1%81%E5%8E%9F%E5%91%B3%E9%A9%B4%E5%BA%84%E9%A4%90%E5%8E%85.html","查看证据(2项/2张)")</f>
        <v/>
      </c>
      <c r="P24" t="inlineStr">
        <is>
          <t>91.0</t>
        </is>
      </c>
      <c r="Q24" t="inlineStr">
        <is>
          <t>是</t>
        </is>
      </c>
      <c r="R24" t="inlineStr">
        <is>
          <t>处理进行中</t>
        </is>
      </c>
      <c r="S24" t="inlineStr">
        <is>
          <t>处理人处理</t>
        </is>
      </c>
      <c r="T24" t="inlineStr">
        <is>
          <t>2026-09-09</t>
        </is>
      </c>
      <c r="U24" t="inlineStr">
        <is>
          <t>2026-09-09</t>
        </is>
      </c>
      <c r="V24" t="inlineStr">
        <is>
          <t>2026-09-09 17:58:33.0</t>
        </is>
      </c>
      <c r="W24" t="inlineStr">
        <is>
          <t>14995.21</t>
        </is>
      </c>
      <c r="Y24" t="inlineStr">
        <is>
          <t>是</t>
        </is>
      </c>
      <c r="Z24" t="inlineStr">
        <is>
          <t>否</t>
        </is>
      </c>
    </row>
    <row r="25">
      <c r="A25" t="inlineStr">
        <is>
          <t>住宅小区</t>
        </is>
      </c>
      <c r="B25" t="inlineStr">
        <is>
          <t>缔梦园</t>
        </is>
      </c>
      <c r="C25" t="inlineStr">
        <is>
          <t>福田区</t>
        </is>
      </c>
      <c r="D25" t="inlineStr">
        <is>
          <t>莲花街道</t>
        </is>
      </c>
      <c r="E25" t="inlineStr">
        <is>
          <t>狮岭社区</t>
        </is>
      </c>
      <c r="F25" t="inlineStr">
        <is>
          <t>广东省深圳市福田区-莲花路2069号(景田地铁站A口步行180米)</t>
        </is>
      </c>
      <c r="G25" t="inlineStr">
        <is>
          <t>日间巡查</t>
        </is>
      </c>
      <c r="H25" t="inlineStr">
        <is>
          <t>陈亮</t>
        </is>
      </c>
      <c r="I25" t="inlineStr">
        <is>
          <t>17302662710</t>
        </is>
      </c>
      <c r="K25" t="inlineStr">
        <is>
          <t>31</t>
        </is>
      </c>
      <c r="L25" t="inlineStr">
        <is>
          <t>5</t>
        </is>
      </c>
      <c r="N25" t="inlineStr">
        <is>
          <t>1.14: 各类垃圾及时清运，投放点及其周围环境干净整洁，没有垃圾满溢、暴露垃圾、杂物堆放、严重积水或明显异味等问题。（6分） (-2)
1.16: 禁止通过捆绑、卡挡或上锁等方式封闭或遮挡投放口。（4分） (-2)
1.17: 转运桶应在黄线划定区域内摆放整齐并保持全天关闭（作业状态除外），禁止罩外摆桶供居民投放。（6分） (-4)
2.2: 设置消防设施，使用功能正常，取用方便。（2分） (-2)
2.4: 暂存点及其周围环境干净整洁，没有污水积聚或散落垃圾，禁止存放易燃易爆危险品，禁止违规接电、住人。（2分） (-2)</t>
        </is>
      </c>
      <c r="O25">
        <f>HYPERLINK("https://yueling-buddy.github.io/xxr-inspection-album/weeks/2026-09-03/venue/v-%E5%B9%BF%E4%B8%9C%E7%9C%81%E6%B7%B1%E5%9C%B3%E5%B8%82%E7%A6%8F%E7%94%B0%E5%8C%BA_%E8%8E%B2%E8%8A%B1%E8%B7%AF2069%E5%8F%B7_%E6%99%AF%E7%94%B0%E5%9C%B0%E9%93%81%E7%AB%99A%E5%8F%A3%E6%AD%A5%E8%A1%8C180%E7%B1%B3_%E7%BC%94%E6%A2%A6%E5%9B%AD.html","查看证据(5项/8张)")</f>
        <v/>
      </c>
      <c r="P25" t="inlineStr">
        <is>
          <t>88.0</t>
        </is>
      </c>
      <c r="Q25" t="inlineStr">
        <is>
          <t>是</t>
        </is>
      </c>
      <c r="R25" t="inlineStr">
        <is>
          <t>处理进行中</t>
        </is>
      </c>
      <c r="S25" t="inlineStr">
        <is>
          <t>处理人处理</t>
        </is>
      </c>
      <c r="T25" t="inlineStr">
        <is>
          <t>2026-09-09</t>
        </is>
      </c>
      <c r="U25" t="inlineStr">
        <is>
          <t>2026-09-09</t>
        </is>
      </c>
      <c r="V25" t="inlineStr">
        <is>
          <t>2026-09-09 17:58:38.0</t>
        </is>
      </c>
      <c r="W25" t="inlineStr">
        <is>
          <t>12088.4</t>
        </is>
      </c>
      <c r="Y25" t="inlineStr">
        <is>
          <t>是</t>
        </is>
      </c>
      <c r="Z25" t="inlineStr">
        <is>
          <t>是</t>
        </is>
      </c>
    </row>
    <row r="26">
      <c r="A26" t="inlineStr">
        <is>
          <t>住宅小区</t>
        </is>
      </c>
      <c r="B26" t="inlineStr">
        <is>
          <t>航天晴山月名园</t>
        </is>
      </c>
      <c r="C26" t="inlineStr">
        <is>
          <t>罗湖区</t>
        </is>
      </c>
      <c r="D26" t="inlineStr">
        <is>
          <t>莲塘街道</t>
        </is>
      </c>
      <c r="E26" t="inlineStr">
        <is>
          <t>长岭社区</t>
        </is>
      </c>
      <c r="F26" t="inlineStr">
        <is>
          <t>罗湖区罗沙路2008号</t>
        </is>
      </c>
      <c r="G26" t="inlineStr">
        <is>
          <t>日间巡查</t>
        </is>
      </c>
      <c r="H26" t="inlineStr">
        <is>
          <t>胡正负</t>
        </is>
      </c>
      <c r="I26" t="inlineStr">
        <is>
          <t>13723402248</t>
        </is>
      </c>
      <c r="K26" t="inlineStr">
        <is>
          <t>34</t>
        </is>
      </c>
      <c r="L26" t="inlineStr">
        <is>
          <t>2</t>
        </is>
      </c>
      <c r="N26" t="inlineStr">
        <is>
          <t>1.5: 分类标志完整、正确、清晰，各类垃圾收集容器外罩和内桶的颜色正确。（4分） (-2)
1.13: 收集容器外壁及内桶保持干净整洁，避免陈旧性脏污，收集容器内无积水。（4分） (-4)</t>
        </is>
      </c>
      <c r="O26">
        <f>HYPERLINK("https://yueling-buddy.github.io/xxr-inspection-album/weeks/2026-09-03/venue/v-%E7%BD%97%E6%B9%96%E5%8C%BA%E7%BD%97%E6%B2%99%E8%B7%AF2008%E5%8F%B7_%E8%88%AA%E5%A4%A9%E6%99%B4%E5%B1%B1%E6%9C%88%E5%90%8D%E5%9B%AD.html","查看证据(2项/3张)")</f>
        <v/>
      </c>
      <c r="P26" t="inlineStr">
        <is>
          <t>94.0</t>
        </is>
      </c>
      <c r="Q26" t="inlineStr">
        <is>
          <t>是</t>
        </is>
      </c>
      <c r="R26" t="inlineStr">
        <is>
          <t>处理进行中</t>
        </is>
      </c>
      <c r="S26" t="inlineStr">
        <is>
          <t>处理人处理</t>
        </is>
      </c>
      <c r="T26" t="inlineStr">
        <is>
          <t>2026-09-09</t>
        </is>
      </c>
      <c r="U26" t="inlineStr">
        <is>
          <t>2026-09-09</t>
        </is>
      </c>
      <c r="V26" t="inlineStr">
        <is>
          <t>2026-09-09 17:58:42.0</t>
        </is>
      </c>
      <c r="W26" t="inlineStr">
        <is>
          <t>15175.75</t>
        </is>
      </c>
      <c r="Y26" t="inlineStr">
        <is>
          <t>是</t>
        </is>
      </c>
      <c r="Z26" t="inlineStr">
        <is>
          <t>否</t>
        </is>
      </c>
    </row>
    <row r="27">
      <c r="A27" t="inlineStr">
        <is>
          <t>住宅小区</t>
        </is>
      </c>
      <c r="B27" t="inlineStr">
        <is>
          <t>玉雅居</t>
        </is>
      </c>
      <c r="C27" t="inlineStr">
        <is>
          <t>罗湖区</t>
        </is>
      </c>
      <c r="D27" t="inlineStr">
        <is>
          <t>莲塘街道</t>
        </is>
      </c>
      <c r="E27" t="inlineStr">
        <is>
          <t>长岭社区</t>
        </is>
      </c>
      <c r="F27" t="inlineStr">
        <is>
          <t>罗沙路2068号玉雅居</t>
        </is>
      </c>
      <c r="G27" t="inlineStr">
        <is>
          <t>日间巡查</t>
        </is>
      </c>
      <c r="H27" t="inlineStr">
        <is>
          <t>胡正负</t>
        </is>
      </c>
      <c r="I27" t="inlineStr">
        <is>
          <t>13723402248</t>
        </is>
      </c>
      <c r="K27" t="inlineStr">
        <is>
          <t>34</t>
        </is>
      </c>
      <c r="L27" t="inlineStr">
        <is>
          <t>2</t>
        </is>
      </c>
      <c r="M27" t="inlineStr">
        <is>
          <t>1.暂存点外摆桶开盖摆放</t>
        </is>
      </c>
      <c r="N27" t="inlineStr">
        <is>
          <t>1.12: 桶柜式垃圾投放点柜门应全天保持关闭（作业状态除外）。（4分） (-2)
3.1: 各类垃圾及时清运。（2分） (-2)</t>
        </is>
      </c>
      <c r="O27">
        <f>HYPERLINK("https://yueling-buddy.github.io/xxr-inspection-album/weeks/2026-09-03/venue/v-%E7%BD%97%E6%B2%99%E8%B7%AF2068%E5%8F%B7%E7%8E%89%E9%9B%85%E5%B1%85_%E7%8E%89%E9%9B%85%E5%B1%85.html","查看证据(2项/4张)")</f>
        <v/>
      </c>
      <c r="P27" t="inlineStr">
        <is>
          <t>96.0</t>
        </is>
      </c>
      <c r="Q27" t="inlineStr">
        <is>
          <t>是</t>
        </is>
      </c>
      <c r="R27" t="inlineStr">
        <is>
          <t>处理进行中</t>
        </is>
      </c>
      <c r="S27" t="inlineStr">
        <is>
          <t>处理人处理</t>
        </is>
      </c>
      <c r="T27" t="inlineStr">
        <is>
          <t>2026-09-09</t>
        </is>
      </c>
      <c r="U27" t="inlineStr">
        <is>
          <t>2026-09-09</t>
        </is>
      </c>
      <c r="V27" t="inlineStr">
        <is>
          <t>2026-09-09 17:58:45.0</t>
        </is>
      </c>
      <c r="W27" t="inlineStr">
        <is>
          <t>15088.58</t>
        </is>
      </c>
      <c r="Y27" t="inlineStr">
        <is>
          <t>是</t>
        </is>
      </c>
      <c r="Z27" t="inlineStr">
        <is>
          <t>否</t>
        </is>
      </c>
    </row>
    <row r="28">
      <c r="A28" t="inlineStr">
        <is>
          <t>住宅小区</t>
        </is>
      </c>
      <c r="B28" t="inlineStr">
        <is>
          <t>公交梧桐苑</t>
        </is>
      </c>
      <c r="C28" t="inlineStr">
        <is>
          <t>罗湖区</t>
        </is>
      </c>
      <c r="D28" t="inlineStr">
        <is>
          <t>莲塘街道</t>
        </is>
      </c>
      <c r="E28" t="inlineStr">
        <is>
          <t>长岭社区</t>
        </is>
      </c>
      <c r="F28" t="inlineStr">
        <is>
          <t>罗湖区莲塘街道七号路2号</t>
        </is>
      </c>
      <c r="G28" t="inlineStr">
        <is>
          <t>日间巡查</t>
        </is>
      </c>
      <c r="H28" t="inlineStr">
        <is>
          <t>胡正负</t>
        </is>
      </c>
      <c r="I28" t="inlineStr">
        <is>
          <t>13723402248</t>
        </is>
      </c>
      <c r="K28" t="inlineStr">
        <is>
          <t>29</t>
        </is>
      </c>
      <c r="L28" t="inlineStr">
        <is>
          <t>7</t>
        </is>
      </c>
      <c r="M28" t="inlineStr">
        <is>
          <t>1.一处公示牌信息模糊不清。</t>
        </is>
      </c>
      <c r="N28" t="inlineStr">
        <is>
          <t>1.5: 分类标志完整、正确、清晰，各类垃圾收集容器外罩和内桶的颜色正确。（4分） (-2)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28">
        <f>HYPERLINK("https://yueling-buddy.github.io/xxr-inspection-album/weeks/2026-09-03/venue/v-%E7%BD%97%E6%B9%96%E5%8C%BA%E8%8E%B2%E5%A1%98%E8%A1%97%E9%81%93%E4%B8%83%E5%8F%B7%E8%B7%AF2%E5%8F%B7_%E5%85%AC%E4%BA%A4%E6%A2%A7%E6%A1%90%E8%8B%91.html","查看证据(7项/8张)")</f>
        <v/>
      </c>
      <c r="P28" t="inlineStr">
        <is>
          <t>86.0</t>
        </is>
      </c>
      <c r="Q28" t="inlineStr">
        <is>
          <t>是</t>
        </is>
      </c>
      <c r="R28" t="inlineStr">
        <is>
          <t>处理进行中</t>
        </is>
      </c>
      <c r="S28" t="inlineStr">
        <is>
          <t>处理人处理</t>
        </is>
      </c>
      <c r="T28" t="inlineStr">
        <is>
          <t>2026-09-09</t>
        </is>
      </c>
      <c r="U28" t="inlineStr">
        <is>
          <t>2026-09-09</t>
        </is>
      </c>
      <c r="V28" t="inlineStr">
        <is>
          <t>2026-09-09 17:58:50.0</t>
        </is>
      </c>
      <c r="W28" t="inlineStr">
        <is>
          <t>14681.0</t>
        </is>
      </c>
      <c r="Y28" t="inlineStr">
        <is>
          <t>否</t>
        </is>
      </c>
      <c r="Z28" t="inlineStr">
        <is>
          <t>是</t>
        </is>
      </c>
    </row>
    <row r="29">
      <c r="A29" t="inlineStr">
        <is>
          <t>住宅小区</t>
        </is>
      </c>
      <c r="B29" t="inlineStr">
        <is>
          <t>山水情家园</t>
        </is>
      </c>
      <c r="C29" t="inlineStr">
        <is>
          <t>南山区</t>
        </is>
      </c>
      <c r="D29" t="inlineStr">
        <is>
          <t>南山街道</t>
        </is>
      </c>
      <c r="E29" t="inlineStr">
        <is>
          <t>荔湾社区</t>
        </is>
      </c>
      <c r="F29" t="inlineStr">
        <is>
          <t>深圳市南山区南山街道前海路0366号</t>
        </is>
      </c>
      <c r="G29" t="inlineStr">
        <is>
          <t>日间巡查</t>
        </is>
      </c>
      <c r="H29" t="inlineStr">
        <is>
          <t>苏成龙</t>
        </is>
      </c>
      <c r="I29" t="inlineStr">
        <is>
          <t>18307612379</t>
        </is>
      </c>
      <c r="K29" t="inlineStr">
        <is>
          <t>35</t>
        </is>
      </c>
      <c r="L29" t="inlineStr">
        <is>
          <t>1</t>
        </is>
      </c>
      <c r="M29" t="inlineStr">
        <is>
          <t>1.无需填写</t>
        </is>
      </c>
      <c r="N29" t="inlineStr">
        <is>
          <t>2.4: 暂存点及其周围环境干净整洁，没有污水积聚或散落垃圾，禁止存放易燃易爆危险品，禁止违规接电、住人。（2分） (-2)</t>
        </is>
      </c>
      <c r="O29">
        <f>HYPERLINK("https://yueling-buddy.github.io/xxr-inspection-album/weeks/2026-09-03/venue/v-%E6%B7%B1%E5%9C%B3%E5%B8%82%E5%8D%97%E5%B1%B1%E5%8C%BA%E5%8D%97%E5%B1%B1%E8%A1%97%E9%81%93%E5%89%8D%E6%B5%B7%E8%B7%AF0366%E5%8F%B7_%E5%B1%B1%E6%B0%B4%E6%83%85%E5%AE%B6%E5%9B%AD.html","查看证据(1项/1张)")</f>
        <v/>
      </c>
      <c r="P29" t="inlineStr">
        <is>
          <t>98.0</t>
        </is>
      </c>
      <c r="Q29" t="inlineStr">
        <is>
          <t>是</t>
        </is>
      </c>
      <c r="R29" t="inlineStr">
        <is>
          <t>处理进行中</t>
        </is>
      </c>
      <c r="S29" t="inlineStr">
        <is>
          <t>处理人处理</t>
        </is>
      </c>
      <c r="T29" t="inlineStr">
        <is>
          <t>2026-09-09</t>
        </is>
      </c>
      <c r="U29" t="inlineStr">
        <is>
          <t>2026-09-09</t>
        </is>
      </c>
      <c r="V29" t="inlineStr">
        <is>
          <t>2026-09-09 17:58:00.0</t>
        </is>
      </c>
      <c r="W29" t="inlineStr">
        <is>
          <t>2217.61</t>
        </is>
      </c>
      <c r="Y29" t="inlineStr">
        <is>
          <t>是</t>
        </is>
      </c>
      <c r="Z29" t="inlineStr">
        <is>
          <t>否</t>
        </is>
      </c>
    </row>
    <row r="30">
      <c r="A30" t="inlineStr">
        <is>
          <t>住宅小区</t>
        </is>
      </c>
      <c r="B30" t="inlineStr">
        <is>
          <t>太子山庄</t>
        </is>
      </c>
      <c r="C30" t="inlineStr">
        <is>
          <t>南山区</t>
        </is>
      </c>
      <c r="D30" t="inlineStr">
        <is>
          <t>南山街道</t>
        </is>
      </c>
      <c r="E30" t="inlineStr">
        <is>
          <t>荔湾社区</t>
        </is>
      </c>
      <c r="F30" t="inlineStr">
        <is>
          <t>深圳市南山区南山街道前海路0308号</t>
        </is>
      </c>
      <c r="G30" t="inlineStr">
        <is>
          <t>日间巡查</t>
        </is>
      </c>
      <c r="H30" t="inlineStr">
        <is>
          <t>苏成龙</t>
        </is>
      </c>
      <c r="I30" t="inlineStr">
        <is>
          <t>18307612379</t>
        </is>
      </c>
      <c r="K30" t="inlineStr">
        <is>
          <t>34</t>
        </is>
      </c>
      <c r="L30" t="inlineStr">
        <is>
          <t>2</t>
        </is>
      </c>
      <c r="M30" t="inlineStr">
        <is>
          <t>1.支撑杆损坏缺失2.无需填写</t>
        </is>
      </c>
      <c r="N30" t="inlineStr">
        <is>
          <t>1.9: 各设施齐全完好，摆放整齐有序，使用功能正常，没有严重破损、陈旧问题，不得拆除投放口盖板支撑杆。（6分） (-4)
2.4: 暂存点及其周围环境干净整洁，没有污水积聚或散落垃圾，禁止存放易燃易爆危险品，禁止违规接电、住人。（2分） (-2)</t>
        </is>
      </c>
      <c r="O30">
        <f>HYPERLINK("https://yueling-buddy.github.io/xxr-inspection-album/weeks/2026-09-03/venue/v-%E6%B7%B1%E5%9C%B3%E5%B8%82%E5%8D%97%E5%B1%B1%E5%8C%BA%E5%8D%97%E5%B1%B1%E8%A1%97%E9%81%93%E5%89%8D%E6%B5%B7%E8%B7%AF0308%E5%8F%B7_%E5%A4%AA%E5%AD%90%E5%B1%B1%E5%BA%84.html","查看证据(2项/3张)")</f>
        <v/>
      </c>
      <c r="P30" t="inlineStr">
        <is>
          <t>94.0</t>
        </is>
      </c>
      <c r="Q30" t="inlineStr">
        <is>
          <t>是</t>
        </is>
      </c>
      <c r="R30" t="inlineStr">
        <is>
          <t>处理进行中</t>
        </is>
      </c>
      <c r="S30" t="inlineStr">
        <is>
          <t>处理人处理</t>
        </is>
      </c>
      <c r="T30" t="inlineStr">
        <is>
          <t>2026-09-10</t>
        </is>
      </c>
      <c r="U30" t="inlineStr">
        <is>
          <t>2026-09-09</t>
        </is>
      </c>
      <c r="V30" t="inlineStr">
        <is>
          <t>2026-09-10 09:19:43.0</t>
        </is>
      </c>
      <c r="W30" t="inlineStr">
        <is>
          <t>23113.7</t>
        </is>
      </c>
      <c r="Y30" t="inlineStr">
        <is>
          <t>是</t>
        </is>
      </c>
      <c r="Z30" t="inlineStr">
        <is>
          <t>否</t>
        </is>
      </c>
    </row>
    <row r="31">
      <c r="A31" t="inlineStr">
        <is>
          <t>交通场站</t>
        </is>
      </c>
      <c r="B31" t="inlineStr">
        <is>
          <t>天健天骄公交首末站</t>
        </is>
      </c>
      <c r="C31" t="inlineStr">
        <is>
          <t>福田区</t>
        </is>
      </c>
      <c r="D31" t="inlineStr">
        <is>
          <t>莲花街道</t>
        </is>
      </c>
      <c r="E31" t="inlineStr">
        <is>
          <t>狮岭社区</t>
        </is>
      </c>
      <c r="F31" t="inlineStr">
        <is>
          <t>福田区景田西路和景田西二街交汇处</t>
        </is>
      </c>
      <c r="G31" t="inlineStr">
        <is>
          <t>日间巡查</t>
        </is>
      </c>
      <c r="H31" t="inlineStr">
        <is>
          <t>陈亮</t>
        </is>
      </c>
      <c r="I31" t="inlineStr">
        <is>
          <t>17302662710</t>
        </is>
      </c>
      <c r="K31" t="inlineStr">
        <is>
          <t>12</t>
        </is>
      </c>
      <c r="L31" t="inlineStr">
        <is>
          <t>2</t>
        </is>
      </c>
      <c r="M31" t="inlineStr">
        <is>
          <t>1.其他垃圾桶缺失</t>
        </is>
      </c>
      <c r="N31" t="inlineStr">
        <is>
          <t>1.1: 公共区域成组摆放可回收物、其他垃圾收集容器。 (-3)
1.6: 各类收集容器的分类标志完整、正确、清晰。 (-3)</t>
        </is>
      </c>
      <c r="O31">
        <f>HYPERLINK("https://yueling-buddy.github.io/xxr-inspection-album/weeks/2026-09-03/venue/v-%E7%A6%8F%E7%94%B0%E5%8C%BA%E6%99%AF%E7%94%B0%E8%A5%BF%E8%B7%AF%E5%92%8C%E6%99%AF%E7%94%B0%E8%A5%BF%E4%BA%8C%E8%A1%97%E4%BA%A4%E6%B1%87%E5%A4%84_%E5%A4%A9%E5%81%A5%E5%A4%A9%E9%AA%84%E5%85%AC%E4%BA%A4%E9%A6%96%E6%9C%AB%E7%AB%99.html","查看证据(2项/2张)")</f>
        <v/>
      </c>
      <c r="P31" t="inlineStr">
        <is>
          <t>94.0</t>
        </is>
      </c>
      <c r="Q31" t="inlineStr">
        <is>
          <t>是</t>
        </is>
      </c>
      <c r="R31" t="inlineStr">
        <is>
          <t>处理进行中</t>
        </is>
      </c>
      <c r="S31" t="inlineStr">
        <is>
          <t>处理人处理</t>
        </is>
      </c>
      <c r="T31" t="inlineStr">
        <is>
          <t>2026-09-09</t>
        </is>
      </c>
      <c r="U31" t="inlineStr">
        <is>
          <t>2026-09-09</t>
        </is>
      </c>
      <c r="V31" t="inlineStr">
        <is>
          <t>2026-09-09 17:59:16.0</t>
        </is>
      </c>
      <c r="W31" t="inlineStr">
        <is>
          <t>11965.94</t>
        </is>
      </c>
      <c r="Y31" t="inlineStr">
        <is>
          <t>是</t>
        </is>
      </c>
      <c r="Z31" t="inlineStr">
        <is>
          <t>否</t>
        </is>
      </c>
    </row>
    <row r="32">
      <c r="A32" t="inlineStr">
        <is>
          <t>住宅小区</t>
        </is>
      </c>
      <c r="B32" t="inlineStr">
        <is>
          <t>山居岁月</t>
        </is>
      </c>
      <c r="C32" t="inlineStr">
        <is>
          <t>南山区</t>
        </is>
      </c>
      <c r="D32" t="inlineStr">
        <is>
          <t>南山街道</t>
        </is>
      </c>
      <c r="E32" t="inlineStr">
        <is>
          <t>荔湾社区</t>
        </is>
      </c>
      <c r="F32" t="inlineStr">
        <is>
          <t>深圳市南山区南山街道前海路0308号</t>
        </is>
      </c>
      <c r="G32" t="inlineStr">
        <is>
          <t>日间巡查</t>
        </is>
      </c>
      <c r="H32" t="inlineStr">
        <is>
          <t>苏成龙</t>
        </is>
      </c>
      <c r="I32" t="inlineStr">
        <is>
          <t>18307612379</t>
        </is>
      </c>
      <c r="K32" t="inlineStr">
        <is>
          <t>35</t>
        </is>
      </c>
      <c r="L32" t="inlineStr">
        <is>
          <t>1</t>
        </is>
      </c>
      <c r="M32" t="inlineStr">
        <is>
          <t>1.无需填写</t>
        </is>
      </c>
      <c r="N32" t="inlineStr">
        <is>
          <t>2.4: 暂存点及其周围环境干净整洁，没有污水积聚或散落垃圾，禁止存放易燃易爆危险品，禁止违规接电、住人。（2分） (-2)</t>
        </is>
      </c>
      <c r="O32">
        <f>HYPERLINK("https://yueling-buddy.github.io/xxr-inspection-album/weeks/2026-09-03/venue/v-%E6%B7%B1%E5%9C%B3%E5%B8%82%E5%8D%97%E5%B1%B1%E5%8C%BA%E5%8D%97%E5%B1%B1%E8%A1%97%E9%81%93%E5%89%8D%E6%B5%B7%E8%B7%AF0308%E5%8F%B7_%E5%B1%B1%E5%B1%85%E5%B2%81%E6%9C%88.html","查看证据(1项/1张)")</f>
        <v/>
      </c>
      <c r="P32" t="inlineStr">
        <is>
          <t>98.0</t>
        </is>
      </c>
      <c r="Q32" t="inlineStr">
        <is>
          <t>是</t>
        </is>
      </c>
      <c r="R32" t="inlineStr">
        <is>
          <t>处理进行中</t>
        </is>
      </c>
      <c r="S32" t="inlineStr">
        <is>
          <t>处理人处理</t>
        </is>
      </c>
      <c r="T32" t="inlineStr">
        <is>
          <t>2026-09-10</t>
        </is>
      </c>
      <c r="U32" t="inlineStr">
        <is>
          <t>2026-09-09</t>
        </is>
      </c>
      <c r="V32" t="inlineStr">
        <is>
          <t>2026-09-10 09:19:16.0</t>
        </is>
      </c>
      <c r="W32" t="inlineStr">
        <is>
          <t>30082.9</t>
        </is>
      </c>
      <c r="Y32" t="inlineStr">
        <is>
          <t>是</t>
        </is>
      </c>
      <c r="Z32" t="inlineStr">
        <is>
          <t>否</t>
        </is>
      </c>
    </row>
    <row r="33">
      <c r="A33" t="inlineStr">
        <is>
          <t>住宅小区</t>
        </is>
      </c>
      <c r="B33" t="inlineStr">
        <is>
          <t>万托家园</t>
        </is>
      </c>
      <c r="C33" t="inlineStr">
        <is>
          <t>福田区</t>
        </is>
      </c>
      <c r="D33" t="inlineStr">
        <is>
          <t>莲花街道</t>
        </is>
      </c>
      <c r="E33" t="inlineStr">
        <is>
          <t>狮岭社区</t>
        </is>
      </c>
      <c r="F33" t="inlineStr">
        <is>
          <t>福田区景田路83号</t>
        </is>
      </c>
      <c r="G33" t="inlineStr">
        <is>
          <t>日间巡查</t>
        </is>
      </c>
      <c r="H33" t="inlineStr">
        <is>
          <t>陈亮</t>
        </is>
      </c>
      <c r="I33" t="inlineStr">
        <is>
          <t>17302662710</t>
        </is>
      </c>
      <c r="K33" t="inlineStr">
        <is>
          <t>32</t>
        </is>
      </c>
      <c r="L33" t="inlineStr">
        <is>
          <t>4</t>
        </is>
      </c>
      <c r="M33" t="inlineStr">
        <is>
          <t>1.未张贴深i回收标识</t>
        </is>
      </c>
      <c r="N33"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
2.1: 设置标识牌，外观使用“深i回收”标识，封闭围挡，地面硬底化。（2分） (-2)
2.4: 暂存点及其周围环境干净整洁，没有污水积聚或散落垃圾，禁止存放易燃易爆危险品，禁止违规接电、住人。（2分） (-2)</t>
        </is>
      </c>
      <c r="O33">
        <f>HYPERLINK("https://yueling-buddy.github.io/xxr-inspection-album/weeks/2026-09-03/venue/v-%E7%A6%8F%E7%94%B0%E5%8C%BA%E6%99%AF%E7%94%B0%E8%B7%AF83%E5%8F%B7_%E4%B8%87%E6%89%98%E5%AE%B6%E5%9B%AD.html","查看证据(4项/6张)")</f>
        <v/>
      </c>
      <c r="P33" t="inlineStr">
        <is>
          <t>92.0</t>
        </is>
      </c>
      <c r="Q33" t="inlineStr">
        <is>
          <t>是</t>
        </is>
      </c>
      <c r="R33" t="inlineStr">
        <is>
          <t>处理进行中</t>
        </is>
      </c>
      <c r="S33" t="inlineStr">
        <is>
          <t>处理人处理</t>
        </is>
      </c>
      <c r="T33" t="inlineStr">
        <is>
          <t>2026-09-09</t>
        </is>
      </c>
      <c r="U33" t="inlineStr">
        <is>
          <t>2026-09-09</t>
        </is>
      </c>
      <c r="V33" t="inlineStr">
        <is>
          <t>2026-09-09 17:59:27.0</t>
        </is>
      </c>
      <c r="W33" t="inlineStr">
        <is>
          <t>12241.69</t>
        </is>
      </c>
      <c r="Y33" t="inlineStr">
        <is>
          <t>是</t>
        </is>
      </c>
      <c r="Z33" t="inlineStr">
        <is>
          <t>是</t>
        </is>
      </c>
    </row>
    <row r="34">
      <c r="A34" t="inlineStr">
        <is>
          <t>住宅小区</t>
        </is>
      </c>
      <c r="B34" t="inlineStr">
        <is>
          <t>碧景园</t>
        </is>
      </c>
      <c r="C34" t="inlineStr">
        <is>
          <t>福田区</t>
        </is>
      </c>
      <c r="D34" t="inlineStr">
        <is>
          <t>莲花街道</t>
        </is>
      </c>
      <c r="E34" t="inlineStr">
        <is>
          <t>狮岭社区</t>
        </is>
      </c>
      <c r="F34" t="inlineStr">
        <is>
          <t>福田区景田路81号</t>
        </is>
      </c>
      <c r="G34" t="inlineStr">
        <is>
          <t>日间巡查</t>
        </is>
      </c>
      <c r="H34" t="inlineStr">
        <is>
          <t>陈亮</t>
        </is>
      </c>
      <c r="I34" t="inlineStr">
        <is>
          <t>17302662710</t>
        </is>
      </c>
      <c r="K34" t="inlineStr">
        <is>
          <t>30</t>
        </is>
      </c>
      <c r="L34" t="inlineStr">
        <is>
          <t>6</t>
        </is>
      </c>
      <c r="N34"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
6.1: 公共区域宣传栏张贴垃圾分类投放指引或宣传海报。（2分） (-2)</t>
        </is>
      </c>
      <c r="O34">
        <f>HYPERLINK("https://yueling-buddy.github.io/xxr-inspection-album/weeks/2026-09-03/venue/v-%E7%A6%8F%E7%94%B0%E5%8C%BA%E6%99%AF%E7%94%B0%E8%B7%AF81%E5%8F%B7_%E7%A2%A7%E6%99%AF%E5%9B%AD.html","查看证据(6项/7张)")</f>
        <v/>
      </c>
      <c r="P34" t="inlineStr">
        <is>
          <t>88.0</t>
        </is>
      </c>
      <c r="Q34" t="inlineStr">
        <is>
          <t>是</t>
        </is>
      </c>
      <c r="R34" t="inlineStr">
        <is>
          <t>处理进行中</t>
        </is>
      </c>
      <c r="S34" t="inlineStr">
        <is>
          <t>处理人处理</t>
        </is>
      </c>
      <c r="T34" t="inlineStr">
        <is>
          <t>2026-09-09</t>
        </is>
      </c>
      <c r="U34" t="inlineStr">
        <is>
          <t>2026-09-09</t>
        </is>
      </c>
      <c r="V34" t="inlineStr">
        <is>
          <t>2026-09-09 17:59:31.0</t>
        </is>
      </c>
      <c r="W34" t="inlineStr">
        <is>
          <t>12280.99</t>
        </is>
      </c>
      <c r="Y34" t="inlineStr">
        <is>
          <t>是</t>
        </is>
      </c>
      <c r="Z34" t="inlineStr">
        <is>
          <t>是</t>
        </is>
      </c>
    </row>
    <row r="35">
      <c r="A35" t="inlineStr">
        <is>
          <t>公园景区</t>
        </is>
      </c>
      <c r="B35" t="inlineStr">
        <is>
          <t>青青世界</t>
        </is>
      </c>
      <c r="C35" t="inlineStr">
        <is>
          <t>南山区</t>
        </is>
      </c>
      <c r="D35" t="inlineStr">
        <is>
          <t>南山街道</t>
        </is>
      </c>
      <c r="E35" t="inlineStr">
        <is>
          <t>荔湾社区</t>
        </is>
      </c>
      <c r="F35" t="inlineStr">
        <is>
          <t>广东省深圳市南山区南山街道青青世界深圳南山青青世界</t>
        </is>
      </c>
      <c r="G35" t="inlineStr">
        <is>
          <t>日间巡查</t>
        </is>
      </c>
      <c r="H35" t="inlineStr">
        <is>
          <t>苏成龙</t>
        </is>
      </c>
      <c r="I35" t="inlineStr">
        <is>
          <t>18307612379</t>
        </is>
      </c>
      <c r="K35" t="inlineStr">
        <is>
          <t>17</t>
        </is>
      </c>
      <c r="L35" t="inlineStr">
        <is>
          <t>2</t>
        </is>
      </c>
      <c r="M35" t="inlineStr">
        <is>
          <t>1.无需填写2.无相关巡查记录表</t>
        </is>
      </c>
      <c r="N35" t="inlineStr">
        <is>
          <t>2.4: 绿化垃圾与240升及以下的生活垃圾收集容器要根据对应的颜色套袋并分类运输处置。（4分） (-2)
2.5: 管理维护垃圾分类设施，将环境卫生、垃圾分类等要求纳入日常巡查内容。（3分） (-3)</t>
        </is>
      </c>
      <c r="O35">
        <f>HYPERLINK("https://yueling-buddy.github.io/xxr-inspection-album/weeks/2026-09-03/venue/v-%E5%B9%BF%E4%B8%9C%E7%9C%81%E6%B7%B1%E5%9C%B3%E5%B8%82%E5%8D%97%E5%B1%B1%E5%8C%BA%E5%8D%97%E5%B1%B1%E8%A1%97%E9%81%93%E9%9D%92%E9%9D%92%E4%B8%96%E7%95%8C%E6%B7%B1%E5%9C%B3%E5%8D%97%E5%B1%B1%E9%9D%92%E9%9D%92%E4%B8%96%E7%95%8C_%E9%9D%92%E9%9D%92%E4%B8%96%E7%95%8C.html","查看证据(2项/3张)")</f>
        <v/>
      </c>
      <c r="P35" t="inlineStr">
        <is>
          <t>95.0</t>
        </is>
      </c>
      <c r="Q35" t="inlineStr">
        <is>
          <t>是</t>
        </is>
      </c>
      <c r="R35" t="inlineStr">
        <is>
          <t>处理进行中</t>
        </is>
      </c>
      <c r="S35" t="inlineStr">
        <is>
          <t>处理人处理</t>
        </is>
      </c>
      <c r="T35" t="inlineStr">
        <is>
          <t>2026-09-10</t>
        </is>
      </c>
      <c r="U35" t="inlineStr">
        <is>
          <t>2026-09-09</t>
        </is>
      </c>
      <c r="V35" t="inlineStr">
        <is>
          <t>2026-09-10 09:18:58.0</t>
        </is>
      </c>
      <c r="W35" t="inlineStr">
        <is>
          <t>31248.22</t>
        </is>
      </c>
      <c r="Y35" t="inlineStr">
        <is>
          <t>否</t>
        </is>
      </c>
      <c r="Z35" t="inlineStr">
        <is>
          <t>否</t>
        </is>
      </c>
    </row>
    <row r="36">
      <c r="A36" t="inlineStr">
        <is>
          <t>城中村</t>
        </is>
      </c>
      <c r="B36" t="inlineStr">
        <is>
          <t>章阁老村东区</t>
        </is>
      </c>
      <c r="C36" t="inlineStr">
        <is>
          <t>龙华区</t>
        </is>
      </c>
      <c r="D36" t="inlineStr">
        <is>
          <t>福城街道</t>
        </is>
      </c>
      <c r="E36" t="inlineStr">
        <is>
          <t>章阁社区</t>
        </is>
      </c>
      <c r="F36" t="inlineStr">
        <is>
          <t>章阁老村东区</t>
        </is>
      </c>
      <c r="G36" t="inlineStr">
        <is>
          <t>夜间巡查</t>
        </is>
      </c>
      <c r="H36" t="inlineStr">
        <is>
          <t>程磊</t>
        </is>
      </c>
      <c r="I36" t="inlineStr">
        <is>
          <t>13316950043</t>
        </is>
      </c>
      <c r="K36" t="inlineStr">
        <is>
          <t>29</t>
        </is>
      </c>
      <c r="L36" t="inlineStr">
        <is>
          <t>3</t>
        </is>
      </c>
      <c r="N36" t="inlineStr">
        <is>
          <t>1.6: 设置洗手设施。（2分） (-2)
1.16: 禁止通过捆绑、卡挡或上锁等方式封闭或遮挡投放口。（4分） (-4)
1.17: 转运桶应在黄线划定区域内摆放整齐并保持全天关闭（作业状态除外），禁止罩外摆桶供居民投放。（6分） (-6)</t>
        </is>
      </c>
      <c r="O36">
        <f>HYPERLINK("https://yueling-buddy.github.io/xxr-inspection-album/weeks/2026-09-03/venue/v-%E7%AB%A0%E9%98%81%E8%80%81%E6%9D%91%E4%B8%9C%E5%8C%BA_%E7%AB%A0%E9%98%81%E8%80%81%E6%9D%91%E4%B8%9C%E5%8C%BA.html","查看证据(3项/8张)")</f>
        <v/>
      </c>
      <c r="P36" t="inlineStr">
        <is>
          <t>88.0</t>
        </is>
      </c>
      <c r="Q36" t="inlineStr">
        <is>
          <t>是</t>
        </is>
      </c>
      <c r="R36" t="inlineStr">
        <is>
          <t>处理进行中</t>
        </is>
      </c>
      <c r="S36" t="inlineStr">
        <is>
          <t>处理人处理</t>
        </is>
      </c>
      <c r="T36" t="inlineStr">
        <is>
          <t>2026-09-09</t>
        </is>
      </c>
      <c r="U36" t="inlineStr">
        <is>
          <t>2026-09-08</t>
        </is>
      </c>
      <c r="V36" t="inlineStr">
        <is>
          <t>2026-09-09 17:59:34.0</t>
        </is>
      </c>
      <c r="W36" t="inlineStr">
        <is>
          <t>36100.03</t>
        </is>
      </c>
      <c r="Y36" t="inlineStr">
        <is>
          <t>是</t>
        </is>
      </c>
      <c r="Z36" t="inlineStr">
        <is>
          <t>是</t>
        </is>
      </c>
    </row>
    <row r="37">
      <c r="A37" t="inlineStr">
        <is>
          <t>住宅小区</t>
        </is>
      </c>
      <c r="B37" t="inlineStr">
        <is>
          <t>青青山庄</t>
        </is>
      </c>
      <c r="C37" t="inlineStr">
        <is>
          <t>南山区</t>
        </is>
      </c>
      <c r="D37" t="inlineStr">
        <is>
          <t>南山街道</t>
        </is>
      </c>
      <c r="E37" t="inlineStr">
        <is>
          <t>荔湾社区</t>
        </is>
      </c>
      <c r="F37" t="inlineStr">
        <is>
          <t>深圳市南山区南山街道青青路2号</t>
        </is>
      </c>
      <c r="G37" t="inlineStr">
        <is>
          <t>日间巡查</t>
        </is>
      </c>
      <c r="H37" t="inlineStr">
        <is>
          <t>苏成龙</t>
        </is>
      </c>
      <c r="I37" t="inlineStr">
        <is>
          <t>18307612379</t>
        </is>
      </c>
      <c r="K37" t="inlineStr">
        <is>
          <t>33</t>
        </is>
      </c>
      <c r="L37" t="inlineStr">
        <is>
          <t>3</t>
        </is>
      </c>
      <c r="M37" t="inlineStr">
        <is>
          <t>1.无需填写2.内桶变形，柜门不能正常关闭3.无需填写</t>
        </is>
      </c>
      <c r="N37" t="inlineStr">
        <is>
          <t>1.2: 至少设置一处有害垃圾收集容器。（2分） (-2)
1.9: 各设施齐全完好，摆放整齐有序，使用功能正常，没有严重破损、陈旧问题，不得拆除投放口盖板支撑杆。（6分） (-2)
1.13: 收集容器外壁及内桶保持干净整洁，避免陈旧性脏污，收集容器内无积水。（4分） (-2)</t>
        </is>
      </c>
      <c r="O37">
        <f>HYPERLINK("https://yueling-buddy.github.io/xxr-inspection-album/weeks/2026-09-03/venue/v-%E6%B7%B1%E5%9C%B3%E5%B8%82%E5%8D%97%E5%B1%B1%E5%8C%BA%E5%8D%97%E5%B1%B1%E8%A1%97%E9%81%93%E9%9D%92%E9%9D%92%E8%B7%AF2%E5%8F%B7_%E9%9D%92%E9%9D%92%E5%B1%B1%E5%BA%84.html","查看证据(3项/5张)")</f>
        <v/>
      </c>
      <c r="P37" t="inlineStr">
        <is>
          <t>94.0</t>
        </is>
      </c>
      <c r="Q37" t="inlineStr">
        <is>
          <t>是</t>
        </is>
      </c>
      <c r="R37" t="inlineStr">
        <is>
          <t>处理进行中</t>
        </is>
      </c>
      <c r="S37" t="inlineStr">
        <is>
          <t>处理人处理</t>
        </is>
      </c>
      <c r="T37" t="inlineStr">
        <is>
          <t>2026-09-10</t>
        </is>
      </c>
      <c r="U37" t="inlineStr">
        <is>
          <t>2026-09-09</t>
        </is>
      </c>
      <c r="V37" t="inlineStr">
        <is>
          <t>2026-09-10 09:16:30.0</t>
        </is>
      </c>
      <c r="W37" t="inlineStr">
        <is>
          <t>30646.45</t>
        </is>
      </c>
      <c r="Y37" t="inlineStr">
        <is>
          <t>是</t>
        </is>
      </c>
      <c r="Z37" t="inlineStr">
        <is>
          <t>否</t>
        </is>
      </c>
    </row>
    <row r="38">
      <c r="A38" t="inlineStr">
        <is>
          <t>城中村</t>
        </is>
      </c>
      <c r="B38" t="inlineStr">
        <is>
          <t>章阁老村西区</t>
        </is>
      </c>
      <c r="C38" t="inlineStr">
        <is>
          <t>龙华区</t>
        </is>
      </c>
      <c r="D38" t="inlineStr">
        <is>
          <t>福城街道</t>
        </is>
      </c>
      <c r="E38" t="inlineStr">
        <is>
          <t>章阁社区</t>
        </is>
      </c>
      <c r="F38" t="inlineStr">
        <is>
          <t>广东省深圳市龙华区-樟阁路329号</t>
        </is>
      </c>
      <c r="G38" t="inlineStr">
        <is>
          <t>夜间巡查</t>
        </is>
      </c>
      <c r="H38" t="inlineStr">
        <is>
          <t>程磊</t>
        </is>
      </c>
      <c r="I38" t="inlineStr">
        <is>
          <t>13316950043</t>
        </is>
      </c>
      <c r="K38" t="inlineStr">
        <is>
          <t>25</t>
        </is>
      </c>
      <c r="L38" t="inlineStr">
        <is>
          <t>7</t>
        </is>
      </c>
      <c r="N38" t="inlineStr">
        <is>
          <t>1.6: 设置洗手设施。（2分） (-1)
1.7: 设置照明设施，夜间光线充足。（2分） (-1)
1.8: 设置公示牌，清晰公示管理责任人和电话、专项垃圾暂存点和废旧织物回收箱位置、厨余垃圾投放时段、各类垃圾收运处理企业等信息。（4分） (-4)
1.14: 各类垃圾及时清运，投放点及其周围环境干净整洁，没有垃圾满溢、暴露垃圾、杂物堆放、严重积水或明显异味等问题。（6分） (-6)
1.16: 禁止通过捆绑、卡挡或上锁等方式封闭或遮挡投放口。（4分） (-4)
1.17: 转运桶应在黄线划定区域内摆放整齐并保持全天关闭（作业状态除外），禁止罩外摆桶供居民投放。（6分） (-6)
1.18: 禁止在楼层、地面或车库等设置分散式垃圾收集容器。（4分） (-5)</t>
        </is>
      </c>
      <c r="O38">
        <f>HYPERLINK("https://yueling-buddy.github.io/xxr-inspection-album/weeks/2026-09-03/venue/v-%E5%B9%BF%E4%B8%9C%E7%9C%81%E6%B7%B1%E5%9C%B3%E5%B8%82%E9%BE%99%E5%8D%8E%E5%8C%BA_%E6%A8%9F%E9%98%81%E8%B7%AF329%E5%8F%B7_%E7%AB%A0%E9%98%81%E8%80%81%E6%9D%91%E8%A5%BF%E5%8C%BA.html","查看证据(7项/17张)")</f>
        <v/>
      </c>
      <c r="P38" t="inlineStr">
        <is>
          <t>73.0</t>
        </is>
      </c>
      <c r="Q38" t="inlineStr">
        <is>
          <t>是</t>
        </is>
      </c>
      <c r="R38" t="inlineStr">
        <is>
          <t>处理进行中</t>
        </is>
      </c>
      <c r="S38" t="inlineStr">
        <is>
          <t>处理人处理</t>
        </is>
      </c>
      <c r="T38" t="inlineStr">
        <is>
          <t>2026-09-09</t>
        </is>
      </c>
      <c r="U38" t="inlineStr">
        <is>
          <t>2026-09-08</t>
        </is>
      </c>
      <c r="V38" t="inlineStr">
        <is>
          <t>2026-09-09 17:59:38.0</t>
        </is>
      </c>
      <c r="W38" t="inlineStr">
        <is>
          <t>35492.78</t>
        </is>
      </c>
      <c r="Y38" t="inlineStr">
        <is>
          <t>是</t>
        </is>
      </c>
      <c r="Z38" t="inlineStr">
        <is>
          <t>是</t>
        </is>
      </c>
    </row>
    <row r="39">
      <c r="A39" t="inlineStr">
        <is>
          <t>住宅小区</t>
        </is>
      </c>
      <c r="B39" t="inlineStr">
        <is>
          <t>诺德假日花园</t>
        </is>
      </c>
      <c r="C39" t="inlineStr">
        <is>
          <t>南山区</t>
        </is>
      </c>
      <c r="D39" t="inlineStr">
        <is>
          <t>南山街道</t>
        </is>
      </c>
      <c r="E39" t="inlineStr">
        <is>
          <t>荔湾社区</t>
        </is>
      </c>
      <c r="F39" t="inlineStr">
        <is>
          <t>深圳市南山区南山街道前海路0369号</t>
        </is>
      </c>
      <c r="G39" t="inlineStr">
        <is>
          <t>日间巡查</t>
        </is>
      </c>
      <c r="H39" t="inlineStr">
        <is>
          <t>苏成龙</t>
        </is>
      </c>
      <c r="I39" t="inlineStr">
        <is>
          <t>18307612379</t>
        </is>
      </c>
      <c r="K39" t="inlineStr">
        <is>
          <t>33</t>
        </is>
      </c>
      <c r="L39" t="inlineStr">
        <is>
          <t>3</t>
        </is>
      </c>
      <c r="M39" t="inlineStr">
        <is>
          <t>1.无需填写2.支撑杆损坏缺失3.无需填写</t>
        </is>
      </c>
      <c r="N39" t="inlineStr">
        <is>
          <t>1.5: 分类标志完整、正确、清晰，各类垃圾收集容器外罩和内桶的颜色正确。（4分） (-4)
1.9: 各设施齐全完好，摆放整齐有序，使用功能正常，没有严重破损、陈旧问题，不得拆除投放口盖板支撑杆。（6分） (-4)
2.3: 各类垃圾及时清运。（2分） (-2)</t>
        </is>
      </c>
      <c r="O39">
        <f>HYPERLINK("https://yueling-buddy.github.io/xxr-inspection-album/weeks/2026-09-03/venue/v-%E6%B7%B1%E5%9C%B3%E5%B8%82%E5%8D%97%E5%B1%B1%E5%8C%BA%E5%8D%97%E5%B1%B1%E8%A1%97%E9%81%93%E5%89%8D%E6%B5%B7%E8%B7%AF0369%E5%8F%B7_%E8%AF%BA%E5%BE%B7%E5%81%87%E6%97%A5%E8%8A%B1%E5%9B%AD.html","查看证据(3项/7张)")</f>
        <v/>
      </c>
      <c r="P39" t="inlineStr">
        <is>
          <t>90.0</t>
        </is>
      </c>
      <c r="Q39" t="inlineStr">
        <is>
          <t>是</t>
        </is>
      </c>
      <c r="R39" t="inlineStr">
        <is>
          <t>处理进行中</t>
        </is>
      </c>
      <c r="S39" t="inlineStr">
        <is>
          <t>处理人处理</t>
        </is>
      </c>
      <c r="T39" t="inlineStr">
        <is>
          <t>2026-09-10</t>
        </is>
      </c>
      <c r="U39" t="inlineStr">
        <is>
          <t>2026-09-09</t>
        </is>
      </c>
      <c r="V39" t="inlineStr">
        <is>
          <t>2026-09-10 09:16:11.0</t>
        </is>
      </c>
      <c r="W39" t="inlineStr">
        <is>
          <t>30084.77</t>
        </is>
      </c>
      <c r="Y39" t="inlineStr">
        <is>
          <t>是</t>
        </is>
      </c>
      <c r="Z39" t="inlineStr">
        <is>
          <t>否</t>
        </is>
      </c>
    </row>
    <row r="40">
      <c r="A40" t="inlineStr">
        <is>
          <t>住宅小区</t>
        </is>
      </c>
      <c r="B40" t="inlineStr">
        <is>
          <t>雷圳碧榕湾海景花园</t>
        </is>
      </c>
      <c r="C40" t="inlineStr">
        <is>
          <t>南山区</t>
        </is>
      </c>
      <c r="D40" t="inlineStr">
        <is>
          <t>南山街道</t>
        </is>
      </c>
      <c r="E40" t="inlineStr">
        <is>
          <t>荔湾社区</t>
        </is>
      </c>
      <c r="F40" t="inlineStr">
        <is>
          <t>深圳市南山区南山街道前海路0389号</t>
        </is>
      </c>
      <c r="G40" t="inlineStr">
        <is>
          <t>日间巡查</t>
        </is>
      </c>
      <c r="H40" t="inlineStr">
        <is>
          <t>苏成龙</t>
        </is>
      </c>
      <c r="I40" t="inlineStr">
        <is>
          <t>18307612379</t>
        </is>
      </c>
      <c r="K40" t="inlineStr">
        <is>
          <t>34</t>
        </is>
      </c>
      <c r="L40" t="inlineStr">
        <is>
          <t>2</t>
        </is>
      </c>
      <c r="M40" t="inlineStr">
        <is>
          <t>1.桶柜投放口2.不整洁，清洁工具乱摆放等</t>
        </is>
      </c>
      <c r="N40" t="inlineStr">
        <is>
          <t>1.13: 收集容器外壁及内桶保持干净整洁，避免陈旧性脏污，收集容器内无积水。（4分） (-2)
1.14: 各类垃圾及时清运，投放点及其周围环境干净整洁，没有垃圾满溢、暴露垃圾、杂物堆放、严重积水或明显异味等问题。（6分） (-6)</t>
        </is>
      </c>
      <c r="O40">
        <f>HYPERLINK("https://yueling-buddy.github.io/xxr-inspection-album/weeks/2026-09-03/venue/v-%E6%B7%B1%E5%9C%B3%E5%B8%82%E5%8D%97%E5%B1%B1%E5%8C%BA%E5%8D%97%E5%B1%B1%E8%A1%97%E9%81%93%E5%89%8D%E6%B5%B7%E8%B7%AF0389%E5%8F%B7_%E9%9B%B7%E5%9C%B3%E7%A2%A7%E6%A6%95%E6%B9%BE%E6%B5%B7%E6%99%AF%E8%8A%B1%E5%9B%AD.html","查看证据(2项/5张)")</f>
        <v/>
      </c>
      <c r="P40" t="inlineStr">
        <is>
          <t>92.0</t>
        </is>
      </c>
      <c r="Q40" t="inlineStr">
        <is>
          <t>是</t>
        </is>
      </c>
      <c r="R40" t="inlineStr">
        <is>
          <t>处理进行中</t>
        </is>
      </c>
      <c r="S40" t="inlineStr">
        <is>
          <t>处理人处理</t>
        </is>
      </c>
      <c r="T40" t="inlineStr">
        <is>
          <t>2026-09-10</t>
        </is>
      </c>
      <c r="U40" t="inlineStr">
        <is>
          <t>2026-09-09</t>
        </is>
      </c>
      <c r="V40" t="inlineStr">
        <is>
          <t>2026-09-10 09:15:59.0</t>
        </is>
      </c>
      <c r="W40" t="inlineStr">
        <is>
          <t>29990.58</t>
        </is>
      </c>
      <c r="Y40" t="inlineStr">
        <is>
          <t>是</t>
        </is>
      </c>
      <c r="Z40" t="inlineStr">
        <is>
          <t>否</t>
        </is>
      </c>
    </row>
    <row r="41">
      <c r="A41" t="inlineStr">
        <is>
          <t>城中村</t>
        </is>
      </c>
      <c r="B41" t="inlineStr">
        <is>
          <t>井水龙</t>
        </is>
      </c>
      <c r="C41" t="inlineStr">
        <is>
          <t>坪山区</t>
        </is>
      </c>
      <c r="D41" t="inlineStr">
        <is>
          <t>龙田街道</t>
        </is>
      </c>
      <c r="E41" t="inlineStr">
        <is>
          <t>老坑社区</t>
        </is>
      </c>
      <c r="F41" t="inlineStr">
        <is>
          <t>老坑井水龙1号</t>
        </is>
      </c>
      <c r="G41" t="inlineStr">
        <is>
          <t>日间巡查</t>
        </is>
      </c>
      <c r="H41" t="inlineStr">
        <is>
          <t>程磊</t>
        </is>
      </c>
      <c r="I41" t="inlineStr">
        <is>
          <t>13316950043</t>
        </is>
      </c>
      <c r="K41" t="inlineStr">
        <is>
          <t>31</t>
        </is>
      </c>
      <c r="L41" t="inlineStr">
        <is>
          <t>1</t>
        </is>
      </c>
      <c r="N41" t="inlineStr">
        <is>
          <t>1.17: 转运桶应在黄线划定区域内摆放整齐并保持全天关闭（作业状态除外），禁止罩外摆桶供居民投放。（6分） (-2)</t>
        </is>
      </c>
      <c r="O41">
        <f>HYPERLINK("https://yueling-buddy.github.io/xxr-inspection-album/weeks/2026-09-03/venue/v-%E8%80%81%E5%9D%91%E4%BA%95%E6%B0%B4%E9%BE%991%E5%8F%B7_%E4%BA%95%E6%B0%B4%E9%BE%99.html","查看证据(1项/2张)")</f>
        <v/>
      </c>
      <c r="P41" t="inlineStr">
        <is>
          <t>98.0</t>
        </is>
      </c>
      <c r="Q41" t="inlineStr">
        <is>
          <t>是</t>
        </is>
      </c>
      <c r="R41" t="inlineStr">
        <is>
          <t>处理进行中</t>
        </is>
      </c>
      <c r="S41" t="inlineStr">
        <is>
          <t>区级复查中</t>
        </is>
      </c>
      <c r="T41" t="inlineStr">
        <is>
          <t>2026-09-09</t>
        </is>
      </c>
      <c r="U41" t="inlineStr">
        <is>
          <t>2026-09-09</t>
        </is>
      </c>
      <c r="V41" t="inlineStr">
        <is>
          <t>2026-09-09 17:59:53.0</t>
        </is>
      </c>
      <c r="W41" t="inlineStr">
        <is>
          <t>486.87</t>
        </is>
      </c>
      <c r="Y41" t="inlineStr">
        <is>
          <t>否</t>
        </is>
      </c>
      <c r="Z41" t="inlineStr">
        <is>
          <t>是</t>
        </is>
      </c>
    </row>
    <row r="42">
      <c r="A42" t="inlineStr">
        <is>
          <t>城中村</t>
        </is>
      </c>
      <c r="B42" t="inlineStr">
        <is>
          <t>东坑</t>
        </is>
      </c>
      <c r="C42" t="inlineStr">
        <is>
          <t>坪山区</t>
        </is>
      </c>
      <c r="D42" t="inlineStr">
        <is>
          <t>龙田街道</t>
        </is>
      </c>
      <c r="E42" t="inlineStr">
        <is>
          <t>老坑社区</t>
        </is>
      </c>
      <c r="F42" t="inlineStr">
        <is>
          <t>老坑东坑83号</t>
        </is>
      </c>
      <c r="G42" t="inlineStr">
        <is>
          <t>日间巡查</t>
        </is>
      </c>
      <c r="H42" t="inlineStr">
        <is>
          <t>程磊</t>
        </is>
      </c>
      <c r="I42" t="inlineStr">
        <is>
          <t>13316950043</t>
        </is>
      </c>
      <c r="K42" t="inlineStr">
        <is>
          <t>31</t>
        </is>
      </c>
      <c r="L42" t="inlineStr">
        <is>
          <t>1</t>
        </is>
      </c>
      <c r="N42" t="inlineStr">
        <is>
          <t>1.17: 转运桶应在黄线划定区域内摆放整齐并保持全天关闭（作业状态除外），禁止罩外摆桶供居民投放。（6分） (-2)</t>
        </is>
      </c>
      <c r="O42">
        <f>HYPERLINK("https://yueling-buddy.github.io/xxr-inspection-album/weeks/2026-09-03/venue/v-%E8%80%81%E5%9D%91%E4%B8%9C%E5%9D%9183%E5%8F%B7_%E4%B8%9C%E5%9D%91.html","查看证据(1项/2张)")</f>
        <v/>
      </c>
      <c r="P42" t="inlineStr">
        <is>
          <t>98.0</t>
        </is>
      </c>
      <c r="Q42" t="inlineStr">
        <is>
          <t>是</t>
        </is>
      </c>
      <c r="R42" t="inlineStr">
        <is>
          <t>处理进行中</t>
        </is>
      </c>
      <c r="S42" t="inlineStr">
        <is>
          <t>区级复查中</t>
        </is>
      </c>
      <c r="T42" t="inlineStr">
        <is>
          <t>2026-09-09</t>
        </is>
      </c>
      <c r="U42" t="inlineStr">
        <is>
          <t>2026-09-09</t>
        </is>
      </c>
      <c r="V42" t="inlineStr">
        <is>
          <t>2026-09-09 17:59:49.0</t>
        </is>
      </c>
      <c r="W42" t="inlineStr">
        <is>
          <t>510.99</t>
        </is>
      </c>
      <c r="Y42" t="inlineStr">
        <is>
          <t>否</t>
        </is>
      </c>
      <c r="Z42" t="inlineStr">
        <is>
          <t>是</t>
        </is>
      </c>
    </row>
    <row r="43">
      <c r="A43" t="inlineStr">
        <is>
          <t>城中村</t>
        </is>
      </c>
      <c r="B43" t="inlineStr">
        <is>
          <t>塘头新村</t>
        </is>
      </c>
      <c r="C43" t="inlineStr">
        <is>
          <t>宝安区</t>
        </is>
      </c>
      <c r="D43" t="inlineStr">
        <is>
          <t>石岩街道</t>
        </is>
      </c>
      <c r="E43" t="inlineStr">
        <is>
          <t>塘头社区</t>
        </is>
      </c>
      <c r="F43" t="inlineStr">
        <is>
          <t>塘头大道68号</t>
        </is>
      </c>
      <c r="G43" t="inlineStr">
        <is>
          <t>日间巡查</t>
        </is>
      </c>
      <c r="H43" t="inlineStr">
        <is>
          <t>陈亮</t>
        </is>
      </c>
      <c r="I43" t="inlineStr">
        <is>
          <t>17302662710</t>
        </is>
      </c>
      <c r="K43" t="inlineStr">
        <is>
          <t>30</t>
        </is>
      </c>
      <c r="L43" t="inlineStr">
        <is>
          <t>2</t>
        </is>
      </c>
      <c r="N43"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t>
        </is>
      </c>
      <c r="O43">
        <f>HYPERLINK("https://yueling-buddy.github.io/xxr-inspection-album/weeks/2026-09-03/venue/v-%E5%A1%98%E5%A4%B4%E5%A4%A7%E9%81%9368%E5%8F%B7_%E5%A1%98%E5%A4%B4%E6%96%B0%E6%9D%91.html","查看证据(2项/5张)")</f>
        <v/>
      </c>
      <c r="P43" t="inlineStr">
        <is>
          <t>96.0</t>
        </is>
      </c>
      <c r="Q43" t="inlineStr">
        <is>
          <t>是</t>
        </is>
      </c>
      <c r="R43" t="inlineStr">
        <is>
          <t>处理进行中</t>
        </is>
      </c>
      <c r="S43" t="inlineStr">
        <is>
          <t>处理人处理</t>
        </is>
      </c>
      <c r="T43" t="inlineStr">
        <is>
          <t>2026-09-09</t>
        </is>
      </c>
      <c r="U43" t="inlineStr">
        <is>
          <t>2026-09-08</t>
        </is>
      </c>
      <c r="V43" t="inlineStr">
        <is>
          <t>2026-09-09 10:13:52.0</t>
        </is>
      </c>
      <c r="W43" t="inlineStr">
        <is>
          <t>16809.75</t>
        </is>
      </c>
      <c r="Y43" t="inlineStr">
        <is>
          <t>是</t>
        </is>
      </c>
      <c r="Z43" t="inlineStr">
        <is>
          <t>否</t>
        </is>
      </c>
    </row>
    <row r="44">
      <c r="A44" t="inlineStr">
        <is>
          <t>城中村</t>
        </is>
      </c>
      <c r="B44" t="inlineStr">
        <is>
          <t>塘头丽景小区</t>
        </is>
      </c>
      <c r="C44" t="inlineStr">
        <is>
          <t>宝安区</t>
        </is>
      </c>
      <c r="D44" t="inlineStr">
        <is>
          <t>石岩街道</t>
        </is>
      </c>
      <c r="E44" t="inlineStr">
        <is>
          <t>塘头社区</t>
        </is>
      </c>
      <c r="F44" t="inlineStr">
        <is>
          <t>广东省深圳市宝安区石岩街道塘头丽景小区塘头路12号旁</t>
        </is>
      </c>
      <c r="G44" t="inlineStr">
        <is>
          <t>日间巡查</t>
        </is>
      </c>
      <c r="H44" t="inlineStr">
        <is>
          <t>陈亮</t>
        </is>
      </c>
      <c r="I44" t="inlineStr">
        <is>
          <t>17302662710</t>
        </is>
      </c>
      <c r="K44" t="inlineStr">
        <is>
          <t>28</t>
        </is>
      </c>
      <c r="L44" t="inlineStr">
        <is>
          <t>4</t>
        </is>
      </c>
      <c r="M44" t="inlineStr">
        <is>
          <t>1.未张贴深i回收标识</t>
        </is>
      </c>
      <c r="N44" t="inlineStr">
        <is>
          <t>1.6: 设置洗手设施。（2分） (-2)
1.9: 各设施齐全完好，摆放整齐有序，使用功能正常，没有严重破损、陈旧问题，不得拆除投放口盖板支撑杆。（6分） (-2)
2.1: 设置标识牌，外观使用“深i回收”标识，封闭围挡，地面硬底化。（2分） (-2)
2.2: 设置消防设施，使用功能正常，取用方便。（2分） (-2)</t>
        </is>
      </c>
      <c r="O44">
        <f>HYPERLINK("https://yueling-buddy.github.io/xxr-inspection-album/weeks/2026-09-03/venue/v-%E5%B9%BF%E4%B8%9C%E7%9C%81%E6%B7%B1%E5%9C%B3%E5%B8%82%E5%AE%9D%E5%AE%89%E5%8C%BA%E7%9F%B3%E5%B2%A9%E8%A1%97%E9%81%93%E5%A1%98%E5%A4%B4%E4%B8%BD%E6%99%AF%E5%B0%8F%E5%8C%BA%E5%A1%98%E5%A4%B4%E8%B7%AF12%E5%8F%B7%E6%97%81_%E5%A1%98%E5%A4%B4%E4%B8%BD%E6%99%AF%E5%B0%8F%E5%8C%BA.html","查看证据(4项/6张)")</f>
        <v/>
      </c>
      <c r="P44" t="inlineStr">
        <is>
          <t>92.0</t>
        </is>
      </c>
      <c r="Q44" t="inlineStr">
        <is>
          <t>是</t>
        </is>
      </c>
      <c r="R44" t="inlineStr">
        <is>
          <t>处理进行中</t>
        </is>
      </c>
      <c r="S44" t="inlineStr">
        <is>
          <t>处理人处理</t>
        </is>
      </c>
      <c r="T44" t="inlineStr">
        <is>
          <t>2026-09-09</t>
        </is>
      </c>
      <c r="U44" t="inlineStr">
        <is>
          <t>2026-09-08</t>
        </is>
      </c>
      <c r="V44" t="inlineStr">
        <is>
          <t>2026-09-09 10:14:07.0</t>
        </is>
      </c>
      <c r="W44" t="inlineStr">
        <is>
          <t>16910.86</t>
        </is>
      </c>
      <c r="Y44" t="inlineStr">
        <is>
          <t>是</t>
        </is>
      </c>
      <c r="Z44" t="inlineStr">
        <is>
          <t>否</t>
        </is>
      </c>
    </row>
    <row r="45">
      <c r="A45" t="inlineStr">
        <is>
          <t>住宅小区</t>
        </is>
      </c>
      <c r="B45" t="inlineStr">
        <is>
          <t>海滨假日</t>
        </is>
      </c>
      <c r="C45" t="inlineStr">
        <is>
          <t>盐田区</t>
        </is>
      </c>
      <c r="D45" t="inlineStr">
        <is>
          <t>盐田街道</t>
        </is>
      </c>
      <c r="E45" t="inlineStr">
        <is>
          <t>沿港社区</t>
        </is>
      </c>
      <c r="F45" t="inlineStr">
        <is>
          <t>深圳市盐田区深盐路1119号</t>
        </is>
      </c>
      <c r="G45" t="inlineStr">
        <is>
          <t>日间巡查</t>
        </is>
      </c>
      <c r="H45" t="inlineStr">
        <is>
          <t>陈运初</t>
        </is>
      </c>
      <c r="I45" t="inlineStr">
        <is>
          <t>13714739365</t>
        </is>
      </c>
      <c r="K45" t="inlineStr">
        <is>
          <t>34</t>
        </is>
      </c>
      <c r="L45" t="inlineStr">
        <is>
          <t>2</t>
        </is>
      </c>
      <c r="N45" t="inlineStr">
        <is>
          <t>1.14: 各类垃圾及时清运，投放点及其周围环境干净整洁，没有垃圾满溢、暴露垃圾、杂物堆放、严重积水或明显异味等问题。（6分） (-2)
2.4: 暂存点及其周围环境干净整洁，没有污水积聚或散落垃圾，禁止存放易燃易爆危险品，禁止违规接电、住人。（2分） (-2)</t>
        </is>
      </c>
      <c r="O45">
        <f>HYPERLINK("https://yueling-buddy.github.io/xxr-inspection-album/weeks/2026-09-03/venue/v-%E6%B7%B1%E5%9C%B3%E5%B8%82%E7%9B%90%E7%94%B0%E5%8C%BA%E6%B7%B1%E7%9B%90%E8%B7%AF1119%E5%8F%B7_%E6%B5%B7%E6%BB%A8%E5%81%87%E6%97%A5.html","查看证据(2项/2张)")</f>
        <v/>
      </c>
      <c r="P45" t="inlineStr">
        <is>
          <t>96.0</t>
        </is>
      </c>
      <c r="Q45" t="inlineStr">
        <is>
          <t>是</t>
        </is>
      </c>
      <c r="R45" t="inlineStr">
        <is>
          <t>处理进行中</t>
        </is>
      </c>
      <c r="S45" t="inlineStr">
        <is>
          <t>处理人处理</t>
        </is>
      </c>
      <c r="T45" t="inlineStr">
        <is>
          <t>2026-09-09</t>
        </is>
      </c>
      <c r="U45" t="inlineStr">
        <is>
          <t>2026-09-08</t>
        </is>
      </c>
      <c r="V45" t="inlineStr">
        <is>
          <t>2026-09-09 10:14:14.0</t>
        </is>
      </c>
      <c r="W45" t="inlineStr">
        <is>
          <t>15192.76</t>
        </is>
      </c>
      <c r="Y45" t="inlineStr">
        <is>
          <t>是</t>
        </is>
      </c>
      <c r="Z45" t="inlineStr">
        <is>
          <t>否</t>
        </is>
      </c>
    </row>
    <row r="46">
      <c r="A46" t="inlineStr">
        <is>
          <t>住宅小区</t>
        </is>
      </c>
      <c r="B46" t="inlineStr">
        <is>
          <t>春天海</t>
        </is>
      </c>
      <c r="C46" t="inlineStr">
        <is>
          <t>盐田区</t>
        </is>
      </c>
      <c r="D46" t="inlineStr">
        <is>
          <t>盐田街道</t>
        </is>
      </c>
      <c r="E46" t="inlineStr">
        <is>
          <t>沿港社区</t>
        </is>
      </c>
      <c r="F46" t="inlineStr">
        <is>
          <t>广东省深圳市盐田区盐田街道海滨假日春天海</t>
        </is>
      </c>
      <c r="G46" t="inlineStr">
        <is>
          <t>日间巡查</t>
        </is>
      </c>
      <c r="H46" t="inlineStr">
        <is>
          <t>陈运初</t>
        </is>
      </c>
      <c r="I46" t="inlineStr">
        <is>
          <t>13714739365</t>
        </is>
      </c>
      <c r="K46" t="inlineStr">
        <is>
          <t>35</t>
        </is>
      </c>
      <c r="L46" t="inlineStr">
        <is>
          <t>1</t>
        </is>
      </c>
      <c r="N46" t="inlineStr">
        <is>
          <t>1.14: 各类垃圾及时清运，投放点及其周围环境干净整洁，没有垃圾满溢、暴露垃圾、杂物堆放、严重积水或明显异味等问题。（6分） (-2)</t>
        </is>
      </c>
      <c r="O46">
        <f>HYPERLINK("https://yueling-buddy.github.io/xxr-inspection-album/weeks/2026-09-03/venue/v-%E5%B9%BF%E4%B8%9C%E7%9C%81%E6%B7%B1%E5%9C%B3%E5%B8%82%E7%9B%90%E7%94%B0%E5%8C%BA%E7%9B%90%E7%94%B0%E8%A1%97%E9%81%93%E6%B5%B7%E6%BB%A8%E5%81%87%E6%97%A5%E6%98%A5%E5%A4%A9%E6%B5%B7_%E6%98%A5%E5%A4%A9%E6%B5%B7.html","查看证据(1项/1张)")</f>
        <v/>
      </c>
      <c r="P46" t="inlineStr">
        <is>
          <t>98.0</t>
        </is>
      </c>
      <c r="Q46" t="inlineStr">
        <is>
          <t>是</t>
        </is>
      </c>
      <c r="R46" t="inlineStr">
        <is>
          <t>处理进行中</t>
        </is>
      </c>
      <c r="S46" t="inlineStr">
        <is>
          <t>处理人处理</t>
        </is>
      </c>
      <c r="T46" t="inlineStr">
        <is>
          <t>2026-09-09</t>
        </is>
      </c>
      <c r="U46" t="inlineStr">
        <is>
          <t>2026-09-08</t>
        </is>
      </c>
      <c r="V46" t="inlineStr">
        <is>
          <t>2026-09-09 10:14:21.0</t>
        </is>
      </c>
      <c r="W46" t="inlineStr">
        <is>
          <t>15201.36</t>
        </is>
      </c>
      <c r="Y46" t="inlineStr">
        <is>
          <t>否</t>
        </is>
      </c>
      <c r="Z46" t="inlineStr">
        <is>
          <t>否</t>
        </is>
      </c>
    </row>
    <row r="47">
      <c r="A47" t="inlineStr">
        <is>
          <t>住宅小区</t>
        </is>
      </c>
      <c r="B47" t="inlineStr">
        <is>
          <t>星港名苑</t>
        </is>
      </c>
      <c r="C47" t="inlineStr">
        <is>
          <t>盐田区</t>
        </is>
      </c>
      <c r="D47" t="inlineStr">
        <is>
          <t>盐田街道</t>
        </is>
      </c>
      <c r="E47" t="inlineStr">
        <is>
          <t>沿港社区</t>
        </is>
      </c>
      <c r="F47" t="inlineStr">
        <is>
          <t>广东省深圳市盐田区盐田街道星港名苑</t>
        </is>
      </c>
      <c r="G47" t="inlineStr">
        <is>
          <t>日间巡查</t>
        </is>
      </c>
      <c r="H47" t="inlineStr">
        <is>
          <t>陈运初</t>
        </is>
      </c>
      <c r="I47" t="inlineStr">
        <is>
          <t>13714739365</t>
        </is>
      </c>
      <c r="K47" t="inlineStr">
        <is>
          <t>35</t>
        </is>
      </c>
      <c r="L47" t="inlineStr">
        <is>
          <t>1</t>
        </is>
      </c>
      <c r="N47" t="inlineStr">
        <is>
          <t>1.17: 转运桶应在黄线划定区域内摆放整齐并保持全天关闭（作业状态除外），禁止罩外摆桶供居民投放。（6分） (-2)</t>
        </is>
      </c>
      <c r="O47">
        <f>HYPERLINK("https://yueling-buddy.github.io/xxr-inspection-album/weeks/2026-09-03/venue/v-%E5%B9%BF%E4%B8%9C%E7%9C%81%E6%B7%B1%E5%9C%B3%E5%B8%82%E7%9B%90%E7%94%B0%E5%8C%BA%E7%9B%90%E7%94%B0%E8%A1%97%E9%81%93%E6%98%9F%E6%B8%AF%E5%90%8D%E8%8B%91_%E6%98%9F%E6%B8%AF%E5%90%8D%E8%8B%91.html","查看证据(1项/1张)")</f>
        <v/>
      </c>
      <c r="P47" t="inlineStr">
        <is>
          <t>98.0</t>
        </is>
      </c>
      <c r="Q47" t="inlineStr">
        <is>
          <t>是</t>
        </is>
      </c>
      <c r="R47" t="inlineStr">
        <is>
          <t>处理进行中</t>
        </is>
      </c>
      <c r="S47" t="inlineStr">
        <is>
          <t>处理人处理</t>
        </is>
      </c>
      <c r="T47" t="inlineStr">
        <is>
          <t>2026-09-09</t>
        </is>
      </c>
      <c r="U47" t="inlineStr">
        <is>
          <t>2026-09-08</t>
        </is>
      </c>
      <c r="V47" t="inlineStr">
        <is>
          <t>2026-09-09 10:14:33.0</t>
        </is>
      </c>
      <c r="W47" t="inlineStr">
        <is>
          <t>14845.89</t>
        </is>
      </c>
      <c r="Y47" t="inlineStr">
        <is>
          <t>是</t>
        </is>
      </c>
      <c r="Z47" t="inlineStr">
        <is>
          <t>是</t>
        </is>
      </c>
    </row>
    <row r="48">
      <c r="A48" t="inlineStr">
        <is>
          <t>城中村</t>
        </is>
      </c>
      <c r="B48" t="inlineStr">
        <is>
          <t>吉麻湖村</t>
        </is>
      </c>
      <c r="C48" t="inlineStr">
        <is>
          <t>盐田区</t>
        </is>
      </c>
      <c r="D48" t="inlineStr">
        <is>
          <t>盐田街道</t>
        </is>
      </c>
      <c r="E48" t="inlineStr">
        <is>
          <t>沿港社区</t>
        </is>
      </c>
      <c r="F48" t="inlineStr">
        <is>
          <t>盐田街道北山道127号</t>
        </is>
      </c>
      <c r="G48" t="inlineStr">
        <is>
          <t>日间巡查</t>
        </is>
      </c>
      <c r="H48" t="inlineStr">
        <is>
          <t>陈运初</t>
        </is>
      </c>
      <c r="I48" t="inlineStr">
        <is>
          <t>13714739365</t>
        </is>
      </c>
      <c r="K48" t="inlineStr">
        <is>
          <t>31</t>
        </is>
      </c>
      <c r="L48" t="inlineStr">
        <is>
          <t>1</t>
        </is>
      </c>
      <c r="N48" t="inlineStr">
        <is>
          <t>1.17: 转运桶应在黄线划定区域内摆放整齐并保持全天关闭（作业状态除外），禁止罩外摆桶供居民投放。（6分） (-2)</t>
        </is>
      </c>
      <c r="O48">
        <f>HYPERLINK("https://yueling-buddy.github.io/xxr-inspection-album/weeks/2026-09-03/venue/v-%E7%9B%90%E7%94%B0%E8%A1%97%E9%81%93%E5%8C%97%E5%B1%B1%E9%81%93127%E5%8F%B7_%E5%90%89%E9%BA%BB%E6%B9%96%E6%9D%91.html","查看证据(1项/1张)")</f>
        <v/>
      </c>
      <c r="P48" t="inlineStr">
        <is>
          <t>98.0</t>
        </is>
      </c>
      <c r="Q48" t="inlineStr">
        <is>
          <t>是</t>
        </is>
      </c>
      <c r="R48" t="inlineStr">
        <is>
          <t>处理进行中</t>
        </is>
      </c>
      <c r="S48" t="inlineStr">
        <is>
          <t>处理人处理</t>
        </is>
      </c>
      <c r="T48" t="inlineStr">
        <is>
          <t>2026-09-09</t>
        </is>
      </c>
      <c r="U48" t="inlineStr">
        <is>
          <t>2026-09-08</t>
        </is>
      </c>
      <c r="V48" t="inlineStr">
        <is>
          <t>2026-09-09 10:14:36.0</t>
        </is>
      </c>
      <c r="W48" t="inlineStr">
        <is>
          <t>14816.89</t>
        </is>
      </c>
      <c r="Y48" t="inlineStr">
        <is>
          <t>是</t>
        </is>
      </c>
      <c r="Z48" t="inlineStr">
        <is>
          <t>是</t>
        </is>
      </c>
    </row>
    <row r="49">
      <c r="A49" t="inlineStr">
        <is>
          <t>住宅小区</t>
        </is>
      </c>
      <c r="B49" t="inlineStr">
        <is>
          <t>和亨雅园</t>
        </is>
      </c>
      <c r="C49" t="inlineStr">
        <is>
          <t>盐田区</t>
        </is>
      </c>
      <c r="D49" t="inlineStr">
        <is>
          <t>盐田街道</t>
        </is>
      </c>
      <c r="E49" t="inlineStr">
        <is>
          <t>沿港社区</t>
        </is>
      </c>
      <c r="F49" t="inlineStr">
        <is>
          <t>广东省深圳市盐田区盐田街道和亨家家园</t>
        </is>
      </c>
      <c r="G49" t="inlineStr">
        <is>
          <t>日间巡查</t>
        </is>
      </c>
      <c r="H49" t="inlineStr">
        <is>
          <t>陈运初</t>
        </is>
      </c>
      <c r="I49" t="inlineStr">
        <is>
          <t>13714739365</t>
        </is>
      </c>
      <c r="K49" t="inlineStr">
        <is>
          <t>34</t>
        </is>
      </c>
      <c r="L49" t="inlineStr">
        <is>
          <t>2</t>
        </is>
      </c>
      <c r="N49" t="inlineStr">
        <is>
          <t>2.2: 设置消防设施，使用功能正常，取用方便。（2分） (-2)
2.4: 暂存点及其周围环境干净整洁，没有污水积聚或散落垃圾，禁止存放易燃易爆危险品，禁止违规接电、住人。（2分） (-2)</t>
        </is>
      </c>
      <c r="O49">
        <f>HYPERLINK("https://yueling-buddy.github.io/xxr-inspection-album/weeks/2026-09-03/venue/v-%E5%B9%BF%E4%B8%9C%E7%9C%81%E6%B7%B1%E5%9C%B3%E5%B8%82%E7%9B%90%E7%94%B0%E5%8C%BA%E7%9B%90%E7%94%B0%E8%A1%97%E9%81%93%E5%92%8C%E4%BA%A8%E5%AE%B6%E5%AE%B6%E5%9B%AD_%E5%92%8C%E4%BA%A8%E9%9B%85%E5%9B%AD.html","查看证据(2项/2张)")</f>
        <v/>
      </c>
      <c r="P49" t="inlineStr">
        <is>
          <t>96.0</t>
        </is>
      </c>
      <c r="Q49" t="inlineStr">
        <is>
          <t>是</t>
        </is>
      </c>
      <c r="R49" t="inlineStr">
        <is>
          <t>处理进行中</t>
        </is>
      </c>
      <c r="S49" t="inlineStr">
        <is>
          <t>处理人处理</t>
        </is>
      </c>
      <c r="T49" t="inlineStr">
        <is>
          <t>2026-09-09</t>
        </is>
      </c>
      <c r="U49" t="inlineStr">
        <is>
          <t>2026-09-08</t>
        </is>
      </c>
      <c r="V49" t="inlineStr">
        <is>
          <t>2026-09-09 10:14:45.0</t>
        </is>
      </c>
      <c r="W49" t="inlineStr">
        <is>
          <t>13867.35</t>
        </is>
      </c>
      <c r="Y49" t="inlineStr">
        <is>
          <t>否</t>
        </is>
      </c>
      <c r="Z49" t="inlineStr">
        <is>
          <t>否</t>
        </is>
      </c>
    </row>
    <row r="50">
      <c r="A50" t="inlineStr">
        <is>
          <t>住宅小区</t>
        </is>
      </c>
      <c r="B50" t="inlineStr">
        <is>
          <t>汇锦名园</t>
        </is>
      </c>
      <c r="C50" t="inlineStr">
        <is>
          <t>罗湖区</t>
        </is>
      </c>
      <c r="D50" t="inlineStr">
        <is>
          <t>黄贝街道</t>
        </is>
      </c>
      <c r="E50" t="inlineStr">
        <is>
          <t>新谊社区</t>
        </is>
      </c>
      <c r="F50" t="inlineStr">
        <is>
          <t>罗湖区黄贝街道凤翔街36号</t>
        </is>
      </c>
      <c r="G50" t="inlineStr">
        <is>
          <t>日间巡查</t>
        </is>
      </c>
      <c r="H50" t="inlineStr">
        <is>
          <t>胡正负</t>
        </is>
      </c>
      <c r="I50" t="inlineStr">
        <is>
          <t>13723402248</t>
        </is>
      </c>
      <c r="K50" t="inlineStr">
        <is>
          <t>34</t>
        </is>
      </c>
      <c r="L50" t="inlineStr">
        <is>
          <t>2</t>
        </is>
      </c>
      <c r="M50" t="inlineStr">
        <is>
          <t>1.无深i回收标识</t>
        </is>
      </c>
      <c r="N50" t="inlineStr">
        <is>
          <t>1.14: 各类垃圾及时清运，投放点及其周围环境干净整洁，没有垃圾满溢、暴露垃圾、杂物堆放、严重积水或明显异味等问题。（6分） (-2)
2.1: 设置标识牌，外观使用“深i回收”标识，封闭围挡，地面硬底化。（2分） (-2)</t>
        </is>
      </c>
      <c r="O50">
        <f>HYPERLINK("https://yueling-buddy.github.io/xxr-inspection-album/weeks/2026-09-03/venue/v-%E7%BD%97%E6%B9%96%E5%8C%BA%E9%BB%84%E8%B4%9D%E8%A1%97%E9%81%93%E5%87%A4%E7%BF%94%E8%A1%9736%E5%8F%B7_%E6%B1%87%E9%94%A6%E5%90%8D%E5%9B%AD.html","查看证据(2项/3张)")</f>
        <v/>
      </c>
      <c r="P50" t="inlineStr">
        <is>
          <t>96.0</t>
        </is>
      </c>
      <c r="Q50" t="inlineStr">
        <is>
          <t>是</t>
        </is>
      </c>
      <c r="R50" t="inlineStr">
        <is>
          <t>处理进行中</t>
        </is>
      </c>
      <c r="S50" t="inlineStr">
        <is>
          <t>处理人处理</t>
        </is>
      </c>
      <c r="T50" t="inlineStr">
        <is>
          <t>2026-09-08</t>
        </is>
      </c>
      <c r="U50" t="inlineStr">
        <is>
          <t>2026-09-08</t>
        </is>
      </c>
      <c r="V50" t="inlineStr">
        <is>
          <t>2026-09-08 17:28:24.0</t>
        </is>
      </c>
      <c r="W50" t="inlineStr">
        <is>
          <t>15034.84</t>
        </is>
      </c>
      <c r="Y50" t="inlineStr">
        <is>
          <t>否</t>
        </is>
      </c>
      <c r="Z50" t="inlineStr">
        <is>
          <t>否</t>
        </is>
      </c>
    </row>
    <row r="51">
      <c r="A51" t="inlineStr">
        <is>
          <t>住宅小区</t>
        </is>
      </c>
      <c r="B51" t="inlineStr">
        <is>
          <t>锦绣大厦</t>
        </is>
      </c>
      <c r="C51" t="inlineStr">
        <is>
          <t>罗湖区</t>
        </is>
      </c>
      <c r="D51" t="inlineStr">
        <is>
          <t>黄贝街道</t>
        </is>
      </c>
      <c r="E51" t="inlineStr">
        <is>
          <t>新谊社区</t>
        </is>
      </c>
      <c r="F51" t="inlineStr">
        <is>
          <t>文锦中路1010号</t>
        </is>
      </c>
      <c r="G51" t="inlineStr">
        <is>
          <t>日间巡查</t>
        </is>
      </c>
      <c r="H51" t="inlineStr">
        <is>
          <t>胡正负</t>
        </is>
      </c>
      <c r="I51" t="inlineStr">
        <is>
          <t>13723402248</t>
        </is>
      </c>
      <c r="K51" t="inlineStr">
        <is>
          <t>32</t>
        </is>
      </c>
      <c r="L51" t="inlineStr">
        <is>
          <t>4</t>
        </is>
      </c>
      <c r="N51" t="inlineStr">
        <is>
          <t>1.13: 收集容器外壁及内桶保持干净整洁，避免陈旧性脏污，收集容器内无积水。（4分） (-2)
2.1: 设置标识牌，外观使用“深i回收”标识，封闭围挡，地面硬底化。（2分） (-2)
2.4: 暂存点及其周围环境干净整洁，没有污水积聚或散落垃圾，禁止存放易燃易爆危险品，禁止违规接电、住人。（2分） (-2)
5.5: 回收箱及周边环境干净整洁，无垃圾满溢、暴露垃圾或杂物堆放等问题。（2分） (-2)</t>
        </is>
      </c>
      <c r="O51">
        <f>HYPERLINK("https://yueling-buddy.github.io/xxr-inspection-album/weeks/2026-09-03/venue/v-%E6%96%87%E9%94%A6%E4%B8%AD%E8%B7%AF1010%E5%8F%B7_%E9%94%A6%E7%BB%A3%E5%A4%A7%E5%8E%A6.html","查看证据(4项/7张)")</f>
        <v/>
      </c>
      <c r="P51" t="inlineStr">
        <is>
          <t>92.0</t>
        </is>
      </c>
      <c r="Q51" t="inlineStr">
        <is>
          <t>是</t>
        </is>
      </c>
      <c r="R51" t="inlineStr">
        <is>
          <t>处理进行中</t>
        </is>
      </c>
      <c r="S51" t="inlineStr">
        <is>
          <t>处理人处理</t>
        </is>
      </c>
      <c r="T51" t="inlineStr">
        <is>
          <t>2026-09-08</t>
        </is>
      </c>
      <c r="U51" t="inlineStr">
        <is>
          <t>2026-09-08</t>
        </is>
      </c>
      <c r="V51" t="inlineStr">
        <is>
          <t>2026-09-08 17:28:36.0</t>
        </is>
      </c>
      <c r="W51" t="inlineStr">
        <is>
          <t>14057.94</t>
        </is>
      </c>
      <c r="Y51" t="inlineStr">
        <is>
          <t>是</t>
        </is>
      </c>
      <c r="Z51" t="inlineStr">
        <is>
          <t>否</t>
        </is>
      </c>
    </row>
    <row r="52">
      <c r="A52" t="inlineStr">
        <is>
          <t>住宅小区</t>
        </is>
      </c>
      <c r="B52" t="inlineStr">
        <is>
          <t>海丽大厦</t>
        </is>
      </c>
      <c r="C52" t="inlineStr">
        <is>
          <t>罗湖区</t>
        </is>
      </c>
      <c r="D52" t="inlineStr">
        <is>
          <t>黄贝街道</t>
        </is>
      </c>
      <c r="E52" t="inlineStr">
        <is>
          <t>新谊社区</t>
        </is>
      </c>
      <c r="F52" t="inlineStr">
        <is>
          <t>文锦中路1018号北门</t>
        </is>
      </c>
      <c r="G52" t="inlineStr">
        <is>
          <t>日间巡查</t>
        </is>
      </c>
      <c r="H52" t="inlineStr">
        <is>
          <t>胡正负</t>
        </is>
      </c>
      <c r="I52" t="inlineStr">
        <is>
          <t>13723402248</t>
        </is>
      </c>
      <c r="K52" t="inlineStr">
        <is>
          <t>30</t>
        </is>
      </c>
      <c r="L52" t="inlineStr">
        <is>
          <t>6</t>
        </is>
      </c>
      <c r="M52" t="inlineStr">
        <is>
          <t>1.1处投放点缺少可回收物。2.1处投放点公示牌信息模糊不清</t>
        </is>
      </c>
      <c r="N52" t="inlineStr">
        <is>
          <t>1.1: 设置集中分类投放点，摆放可回收物、厨余垃圾、其他垃圾三类收集容器。（6分） (-2)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1.13: 收集容器外壁及内桶保持干净整洁，避免陈旧性脏污，收集容器内无积水。（4分） (-2)
1.14: 各类垃圾及时清运，投放点及其周围环境干净整洁，没有垃圾满溢、暴露垃圾、杂物堆放、严重积水或明显异味等问题。（6分） (-4)
1.17: 转运桶应在黄线划定区域内摆放整齐并保持全天关闭（作业状态除外），禁止罩外摆桶供居民投放。（6分） (-2)</t>
        </is>
      </c>
      <c r="O52">
        <f>HYPERLINK("https://yueling-buddy.github.io/xxr-inspection-album/weeks/2026-09-03/venue/v-%E6%96%87%E9%94%A6%E4%B8%AD%E8%B7%AF1018%E5%8F%B7%E5%8C%97%E9%97%A8_%E6%B5%B7%E4%B8%BD%E5%A4%A7%E5%8E%A6.html","查看证据(6项/14张)")</f>
        <v/>
      </c>
      <c r="P52" t="inlineStr">
        <is>
          <t>86.0</t>
        </is>
      </c>
      <c r="Q52" t="inlineStr">
        <is>
          <t>是</t>
        </is>
      </c>
      <c r="R52" t="inlineStr">
        <is>
          <t>处理进行中</t>
        </is>
      </c>
      <c r="S52" t="inlineStr">
        <is>
          <t>处理人处理</t>
        </is>
      </c>
      <c r="T52" t="inlineStr">
        <is>
          <t>2026-09-08</t>
        </is>
      </c>
      <c r="U52" t="inlineStr">
        <is>
          <t>2026-09-08</t>
        </is>
      </c>
      <c r="V52" t="inlineStr">
        <is>
          <t>2026-09-08 17:28:41.0</t>
        </is>
      </c>
      <c r="W52" t="inlineStr">
        <is>
          <t>14257.37</t>
        </is>
      </c>
      <c r="Y52" t="inlineStr">
        <is>
          <t>是</t>
        </is>
      </c>
      <c r="Z52" t="inlineStr">
        <is>
          <t>是</t>
        </is>
      </c>
    </row>
    <row r="53">
      <c r="A53" t="inlineStr">
        <is>
          <t>住宅小区</t>
        </is>
      </c>
      <c r="B53" t="inlineStr">
        <is>
          <t>轻工大厦</t>
        </is>
      </c>
      <c r="C53" t="inlineStr">
        <is>
          <t>罗湖区</t>
        </is>
      </c>
      <c r="D53" t="inlineStr">
        <is>
          <t>黄贝街道</t>
        </is>
      </c>
      <c r="E53" t="inlineStr">
        <is>
          <t>新谊社区</t>
        </is>
      </c>
      <c r="F53" t="inlineStr">
        <is>
          <t>深圳市爱国路1002号</t>
        </is>
      </c>
      <c r="G53" t="inlineStr">
        <is>
          <t>日间巡查</t>
        </is>
      </c>
      <c r="H53" t="inlineStr">
        <is>
          <t>胡正负</t>
        </is>
      </c>
      <c r="I53" t="inlineStr">
        <is>
          <t>13723402248</t>
        </is>
      </c>
      <c r="K53" t="inlineStr">
        <is>
          <t>32</t>
        </is>
      </c>
      <c r="L53" t="inlineStr">
        <is>
          <t>4</t>
        </is>
      </c>
      <c r="M53" t="inlineStr">
        <is>
          <t>1.围挡不全，无深i回收标识</t>
        </is>
      </c>
      <c r="N53" t="inlineStr">
        <is>
          <t>1.13: 收集容器外壁及内桶保持干净整洁，避免陈旧性脏污，收集容器内无积水。（4分） (-2)
2.1: 设置标识牌，外观使用“深i回收”标识，封闭围挡，地面硬底化。（2分） (-2)
3.1: 各类垃圾及时清运。（2分） (-2)
5.2: 箱体外观应使用“深i回收”标识，并公示备案编号、监管电话、回收电话等信息，回收电话真实有效，提供预约回收服务。（1分） (-1)</t>
        </is>
      </c>
      <c r="O53">
        <f>HYPERLINK("https://yueling-buddy.github.io/xxr-inspection-album/weeks/2026-09-03/venue/v-%E6%B7%B1%E5%9C%B3%E5%B8%82%E7%88%B1%E5%9B%BD%E8%B7%AF1002%E5%8F%B7_%E8%BD%BB%E5%B7%A5%E5%A4%A7%E5%8E%A6.html","查看证据(4项/6张)")</f>
        <v/>
      </c>
      <c r="P53" t="inlineStr">
        <is>
          <t>93.0</t>
        </is>
      </c>
      <c r="Q53" t="inlineStr">
        <is>
          <t>是</t>
        </is>
      </c>
      <c r="R53" t="inlineStr">
        <is>
          <t>处理进行中</t>
        </is>
      </c>
      <c r="S53" t="inlineStr">
        <is>
          <t>处理人处理</t>
        </is>
      </c>
      <c r="T53" t="inlineStr">
        <is>
          <t>2026-09-08</t>
        </is>
      </c>
      <c r="U53" t="inlineStr">
        <is>
          <t>2026-09-08</t>
        </is>
      </c>
      <c r="V53" t="inlineStr">
        <is>
          <t>2026-09-08 17:28:49.0</t>
        </is>
      </c>
      <c r="W53" t="inlineStr">
        <is>
          <t>10112.96</t>
        </is>
      </c>
      <c r="Y53" t="inlineStr">
        <is>
          <t>是</t>
        </is>
      </c>
      <c r="Z53" t="inlineStr">
        <is>
          <t>否</t>
        </is>
      </c>
    </row>
    <row r="54">
      <c r="A54" t="inlineStr">
        <is>
          <t>产业园区</t>
        </is>
      </c>
      <c r="B54" t="inlineStr">
        <is>
          <t>北山工业区</t>
        </is>
      </c>
      <c r="C54" t="inlineStr">
        <is>
          <t>盐田区</t>
        </is>
      </c>
      <c r="D54" t="inlineStr">
        <is>
          <t>盐田街道</t>
        </is>
      </c>
      <c r="E54" t="inlineStr">
        <is>
          <t>沿港社区</t>
        </is>
      </c>
      <c r="F54" t="inlineStr">
        <is>
          <t>深圳市盐田区北山大道工业区146号</t>
        </is>
      </c>
      <c r="G54" t="inlineStr">
        <is>
          <t>日间巡查</t>
        </is>
      </c>
      <c r="H54" t="inlineStr">
        <is>
          <t>陈运初</t>
        </is>
      </c>
      <c r="I54" t="inlineStr">
        <is>
          <t>13714739365</t>
        </is>
      </c>
      <c r="K54" t="inlineStr">
        <is>
          <t>15</t>
        </is>
      </c>
      <c r="L54" t="inlineStr">
        <is>
          <t>1</t>
        </is>
      </c>
      <c r="N54" t="inlineStr">
        <is>
          <t>2.2: 收集容器、暂存点及其周围环境干净整洁，无垃圾满溢、暴露垃圾，无杂物堆放。 (-6)</t>
        </is>
      </c>
      <c r="O54">
        <f>HYPERLINK("https://yueling-buddy.github.io/xxr-inspection-album/weeks/2026-09-03/venue/v-%E6%B7%B1%E5%9C%B3%E5%B8%82%E7%9B%90%E7%94%B0%E5%8C%BA%E5%8C%97%E5%B1%B1%E5%A4%A7%E9%81%93%E5%B7%A5%E4%B8%9A%E5%8C%BA146%E5%8F%B7_%E5%8C%97%E5%B1%B1%E5%B7%A5%E4%B8%9A%E5%8C%BA.html","查看证据(1项/2张)")</f>
        <v/>
      </c>
      <c r="P54" t="inlineStr">
        <is>
          <t>94.0</t>
        </is>
      </c>
      <c r="Q54" t="inlineStr">
        <is>
          <t>是</t>
        </is>
      </c>
      <c r="R54" t="inlineStr">
        <is>
          <t>处理进行中</t>
        </is>
      </c>
      <c r="S54" t="inlineStr">
        <is>
          <t>处理人处理</t>
        </is>
      </c>
      <c r="T54" t="inlineStr">
        <is>
          <t>2026-09-08</t>
        </is>
      </c>
      <c r="U54" t="inlineStr">
        <is>
          <t>2026-09-08</t>
        </is>
      </c>
      <c r="V54" t="inlineStr">
        <is>
          <t>2026-09-08 17:28:52.0</t>
        </is>
      </c>
      <c r="W54" t="inlineStr">
        <is>
          <t>5088.78</t>
        </is>
      </c>
      <c r="Y54" t="inlineStr">
        <is>
          <t>是</t>
        </is>
      </c>
      <c r="Z54" t="inlineStr">
        <is>
          <t>否</t>
        </is>
      </c>
    </row>
    <row r="55">
      <c r="A55" t="inlineStr">
        <is>
          <t>住宅小区</t>
        </is>
      </c>
      <c r="B55" t="inlineStr">
        <is>
          <t>华深大院</t>
        </is>
      </c>
      <c r="C55" t="inlineStr">
        <is>
          <t>罗湖区</t>
        </is>
      </c>
      <c r="D55" t="inlineStr">
        <is>
          <t>黄贝街道</t>
        </is>
      </c>
      <c r="E55" t="inlineStr">
        <is>
          <t>新谊社区</t>
        </is>
      </c>
      <c r="F55" t="inlineStr">
        <is>
          <t>深圳市爱国路1040号华深大院</t>
        </is>
      </c>
      <c r="G55" t="inlineStr">
        <is>
          <t>日间巡查</t>
        </is>
      </c>
      <c r="H55" t="inlineStr">
        <is>
          <t>胡正负</t>
        </is>
      </c>
      <c r="I55" t="inlineStr">
        <is>
          <t>13723402248</t>
        </is>
      </c>
      <c r="K55" t="inlineStr">
        <is>
          <t>28</t>
        </is>
      </c>
      <c r="L55" t="inlineStr">
        <is>
          <t>8</t>
        </is>
      </c>
      <c r="M55" t="inlineStr">
        <is>
          <t>1.无深i回收标识2.未通电无法使用</t>
        </is>
      </c>
      <c r="N55"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
1.14: 各类垃圾及时清运，投放点及其周围环境干净整洁，没有垃圾满溢、暴露垃圾、杂物堆放、严重积水或明显异味等问题。（6分） (-2)
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
4.3: 设备齐全完好，摆放整齐有序，功能正常，外观没有严重破损，没有用电隐患。（2分） (-2)
5.2: 箱体外观应使用“深i回收”标识，并公示备案编号、监管电话、回收电话等信息，回收电话真实有效，提供预约回收服务。（1分） (-1)</t>
        </is>
      </c>
      <c r="O55">
        <f>HYPERLINK("https://yueling-buddy.github.io/xxr-inspection-album/weeks/2026-09-03/venue/v-%E6%B7%B1%E5%9C%B3%E5%B8%82%E7%88%B1%E5%9B%BD%E8%B7%AF1040%E5%8F%B7%E5%8D%8E%E6%B7%B1%E5%A4%A7%E9%99%A2_%E5%8D%8E%E6%B7%B1%E5%A4%A7%E9%99%A2.html","查看证据(8项/12张)")</f>
        <v/>
      </c>
      <c r="P55" t="inlineStr">
        <is>
          <t>85.0</t>
        </is>
      </c>
      <c r="Q55" t="inlineStr">
        <is>
          <t>是</t>
        </is>
      </c>
      <c r="R55" t="inlineStr">
        <is>
          <t>处理进行中</t>
        </is>
      </c>
      <c r="S55" t="inlineStr">
        <is>
          <t>处理人处理</t>
        </is>
      </c>
      <c r="T55" t="inlineStr">
        <is>
          <t>2026-09-08</t>
        </is>
      </c>
      <c r="U55" t="inlineStr">
        <is>
          <t>2026-09-08</t>
        </is>
      </c>
      <c r="V55" t="inlineStr">
        <is>
          <t>2026-09-08 17:28:57.0</t>
        </is>
      </c>
      <c r="W55" t="inlineStr">
        <is>
          <t>7763.28</t>
        </is>
      </c>
      <c r="Y55" t="inlineStr">
        <is>
          <t>是</t>
        </is>
      </c>
      <c r="Z55" t="inlineStr">
        <is>
          <t>是</t>
        </is>
      </c>
    </row>
    <row r="56">
      <c r="A56" t="inlineStr">
        <is>
          <t>住宅小区</t>
        </is>
      </c>
      <c r="B56" t="inlineStr">
        <is>
          <t>华丽西村</t>
        </is>
      </c>
      <c r="C56" t="inlineStr">
        <is>
          <t>罗湖区</t>
        </is>
      </c>
      <c r="D56" t="inlineStr">
        <is>
          <t>黄贝街道</t>
        </is>
      </c>
      <c r="E56" t="inlineStr">
        <is>
          <t>新谊社区</t>
        </is>
      </c>
      <c r="F56" t="inlineStr">
        <is>
          <t>华丽路1069号</t>
        </is>
      </c>
      <c r="G56" t="inlineStr">
        <is>
          <t>日间巡查</t>
        </is>
      </c>
      <c r="H56" t="inlineStr">
        <is>
          <t>胡正负</t>
        </is>
      </c>
      <c r="I56" t="inlineStr">
        <is>
          <t>13723402248</t>
        </is>
      </c>
      <c r="K56" t="inlineStr">
        <is>
          <t>31</t>
        </is>
      </c>
      <c r="L56" t="inlineStr">
        <is>
          <t>5</t>
        </is>
      </c>
      <c r="M56" t="inlineStr">
        <is>
          <t>1.无深i回收标识</t>
        </is>
      </c>
      <c r="N56" t="inlineStr">
        <is>
          <t>1.11: 禁止车辆挡住投放点过道，禁止在投放口前堆放大件杂物。（2分） (-1)
1.17: 转运桶应在黄线划定区域内摆放整齐并保持全天关闭（作业状态除外），禁止罩外摆桶供居民投放。（6分） (-2)
2.1: 设置标识牌，外观使用“深i回收”标识，封闭围挡，地面硬底化。（2分） (-2)
2.2: 设置消防设施，使用功能正常，取用方便。（2分） (-2)
2.4: 暂存点及其周围环境干净整洁，没有污水积聚或散落垃圾，禁止存放易燃易爆危险品，禁止违规接电、住人。（2分） (-2)</t>
        </is>
      </c>
      <c r="O56">
        <f>HYPERLINK("https://yueling-buddy.github.io/xxr-inspection-album/weeks/2026-09-03/venue/v-%E5%8D%8E%E4%B8%BD%E8%B7%AF1069%E5%8F%B7_%E5%8D%8E%E4%B8%BD%E8%A5%BF%E6%9D%91.html","查看证据(5项/7张)")</f>
        <v/>
      </c>
      <c r="P56" t="inlineStr">
        <is>
          <t>91.0</t>
        </is>
      </c>
      <c r="Q56" t="inlineStr">
        <is>
          <t>是</t>
        </is>
      </c>
      <c r="R56" t="inlineStr">
        <is>
          <t>处理进行中</t>
        </is>
      </c>
      <c r="S56" t="inlineStr">
        <is>
          <t>处理人处理</t>
        </is>
      </c>
      <c r="T56" t="inlineStr">
        <is>
          <t>2026-09-08</t>
        </is>
      </c>
      <c r="U56" t="inlineStr">
        <is>
          <t>2026-09-08</t>
        </is>
      </c>
      <c r="V56" t="inlineStr">
        <is>
          <t>2026-09-08 17:29:05.0</t>
        </is>
      </c>
      <c r="W56" t="inlineStr">
        <is>
          <t>5775.72</t>
        </is>
      </c>
      <c r="Y56" t="inlineStr">
        <is>
          <t>是</t>
        </is>
      </c>
      <c r="Z56" t="inlineStr">
        <is>
          <t>是</t>
        </is>
      </c>
    </row>
    <row r="57">
      <c r="A57" t="inlineStr">
        <is>
          <t>城中村</t>
        </is>
      </c>
      <c r="B57" t="inlineStr">
        <is>
          <t>25小区片区</t>
        </is>
      </c>
      <c r="C57" t="inlineStr">
        <is>
          <t>光明区</t>
        </is>
      </c>
      <c r="D57" t="inlineStr">
        <is>
          <t>公明街道</t>
        </is>
      </c>
      <c r="E57" t="inlineStr">
        <is>
          <t>公明社区</t>
        </is>
      </c>
      <c r="F57" t="inlineStr">
        <is>
          <t>广东省深圳市光明区公明街道红花中路</t>
        </is>
      </c>
      <c r="G57" t="inlineStr">
        <is>
          <t>日间巡查</t>
        </is>
      </c>
      <c r="H57" t="inlineStr">
        <is>
          <t>苏成龙</t>
        </is>
      </c>
      <c r="I57" t="inlineStr">
        <is>
          <t>18307612379</t>
        </is>
      </c>
      <c r="K57" t="inlineStr">
        <is>
          <t>23</t>
        </is>
      </c>
      <c r="L57" t="inlineStr">
        <is>
          <t>9</t>
        </is>
      </c>
      <c r="M57" t="inlineStr">
        <is>
          <t>1.未张贴误时投放标识2.专项垃圾暂存点位置信息错误等3.支撑杆损坏4.可回收物桶内的混合垃圾也需及时清理，滋生蚊虫5.未使用“深i回收”标识</t>
        </is>
      </c>
      <c r="N57" t="inlineStr">
        <is>
          <t>1.4: 至少设置一处厨余垃圾误时投放点，张贴误时投放点标识，并保持24小时开放。（2分） (-2)
1.5: 分类标志完整、正确、清晰，各类垃圾收集容器外罩和内桶的颜色正确。（4分） (-4)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1.13: 收集容器外壁及内桶保持干净整洁，避免陈旧性脏污，收集容器内无积水。（6分） (-3)
1.14: 各类垃圾及时清运，投放点及其周围环境干净整洁，没有垃圾满溢、暴露垃圾、杂物堆放、严重积水或明显异味等问题。（6分） (-4)
1.18: 禁止在楼层、地面或车库等设置分散式垃圾收集容器。（4分） (-5)
2.1: 设置标识牌，外观使用“深i回收”标识，封闭围挡，地面硬底化。（2分） (-2)
2.4: 暂存点及其周围环境干净整洁，没有污水积聚或散落垃圾，禁止存放易燃易爆危险品，禁止违规接电、住人。（2分） (-2)</t>
        </is>
      </c>
      <c r="O57">
        <f>HYPERLINK("https://yueling-buddy.github.io/xxr-inspection-album/weeks/2026-09-03/venue/v-%E5%B9%BF%E4%B8%9C%E7%9C%81%E6%B7%B1%E5%9C%B3%E5%B8%82%E5%85%89%E6%98%8E%E5%8C%BA%E5%85%AC%E6%98%8E%E8%A1%97%E9%81%93%E7%BA%A2%E8%8A%B1%E4%B8%AD%E8%B7%AF_25%E5%B0%8F%E5%8C%BA%E7%89%87%E5%8C%BA.html","查看证据(9项/19张)")</f>
        <v/>
      </c>
      <c r="P57" t="inlineStr">
        <is>
          <t>74.0</t>
        </is>
      </c>
      <c r="Q57" t="inlineStr">
        <is>
          <t>是</t>
        </is>
      </c>
      <c r="R57" t="inlineStr">
        <is>
          <t>处理进行中</t>
        </is>
      </c>
      <c r="S57" t="inlineStr">
        <is>
          <t>处理人处理</t>
        </is>
      </c>
      <c r="T57" t="inlineStr">
        <is>
          <t>2026-09-08</t>
        </is>
      </c>
      <c r="U57" t="inlineStr">
        <is>
          <t>2026-09-08</t>
        </is>
      </c>
      <c r="V57" t="inlineStr">
        <is>
          <t>2026-09-08 17:29:18.0</t>
        </is>
      </c>
      <c r="W57" t="inlineStr">
        <is>
          <t>1668.18</t>
        </is>
      </c>
      <c r="Y57" t="inlineStr">
        <is>
          <t>是</t>
        </is>
      </c>
      <c r="Z57" t="inlineStr">
        <is>
          <t>是</t>
        </is>
      </c>
    </row>
    <row r="58">
      <c r="A58" t="inlineStr">
        <is>
          <t>住宅小区</t>
        </is>
      </c>
      <c r="B58" t="inlineStr">
        <is>
          <t>金盾花园</t>
        </is>
      </c>
      <c r="C58" t="inlineStr">
        <is>
          <t>罗湖区</t>
        </is>
      </c>
      <c r="D58" t="inlineStr">
        <is>
          <t>黄贝街道</t>
        </is>
      </c>
      <c r="E58" t="inlineStr">
        <is>
          <t>新谊社区</t>
        </is>
      </c>
      <c r="F58" t="inlineStr">
        <is>
          <t>深圳市罗湖区华丽路1067号</t>
        </is>
      </c>
      <c r="G58" t="inlineStr">
        <is>
          <t>日间巡查</t>
        </is>
      </c>
      <c r="H58" t="inlineStr">
        <is>
          <t>胡正负</t>
        </is>
      </c>
      <c r="I58" t="inlineStr">
        <is>
          <t>13723402248</t>
        </is>
      </c>
      <c r="K58" t="inlineStr">
        <is>
          <t>30</t>
        </is>
      </c>
      <c r="L58" t="inlineStr">
        <is>
          <t>6</t>
        </is>
      </c>
      <c r="M58" t="inlineStr">
        <is>
          <t>1.无深i回收标识</t>
        </is>
      </c>
      <c r="N58" t="inlineStr">
        <is>
          <t>1.2: 至少设置一处有害垃圾收集容器。（2分）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
2.2: 设置消防设施，使用功能正常，取用方便。（2分） (-2)
2.4: 暂存点及其周围环境干净整洁，没有污水积聚或散落垃圾，禁止存放易燃易爆危险品，禁止违规接电、住人。（2分） (-2)</t>
        </is>
      </c>
      <c r="O58">
        <f>HYPERLINK("https://yueling-buddy.github.io/xxr-inspection-album/weeks/2026-09-03/venue/v-%E6%B7%B1%E5%9C%B3%E5%B8%82%E7%BD%97%E6%B9%96%E5%8C%BA%E5%8D%8E%E4%B8%BD%E8%B7%AF1067%E5%8F%B7_%E9%87%91%E7%9B%BE%E8%8A%B1%E5%9B%AD.html","查看证据(6项/8张)")</f>
        <v/>
      </c>
      <c r="P58" t="inlineStr">
        <is>
          <t>88.0</t>
        </is>
      </c>
      <c r="Q58" t="inlineStr">
        <is>
          <t>是</t>
        </is>
      </c>
      <c r="R58" t="inlineStr">
        <is>
          <t>处理进行中</t>
        </is>
      </c>
      <c r="S58" t="inlineStr">
        <is>
          <t>处理人处理</t>
        </is>
      </c>
      <c r="T58" t="inlineStr">
        <is>
          <t>2026-09-08</t>
        </is>
      </c>
      <c r="U58" t="inlineStr">
        <is>
          <t>2026-09-08</t>
        </is>
      </c>
      <c r="V58" t="inlineStr">
        <is>
          <t>2026-09-08 17:29:23.0</t>
        </is>
      </c>
      <c r="W58" t="inlineStr">
        <is>
          <t>5250.48</t>
        </is>
      </c>
      <c r="Y58" t="inlineStr">
        <is>
          <t>是</t>
        </is>
      </c>
      <c r="Z58" t="inlineStr">
        <is>
          <t>是</t>
        </is>
      </c>
    </row>
    <row r="59">
      <c r="A59" t="inlineStr">
        <is>
          <t>住宅小区</t>
        </is>
      </c>
      <c r="B59" t="inlineStr">
        <is>
          <t>1049号中行宿舍</t>
        </is>
      </c>
      <c r="C59" t="inlineStr">
        <is>
          <t>罗湖区</t>
        </is>
      </c>
      <c r="D59" t="inlineStr">
        <is>
          <t>黄贝街道</t>
        </is>
      </c>
      <c r="E59" t="inlineStr">
        <is>
          <t>新谊社区</t>
        </is>
      </c>
      <c r="F59" t="inlineStr">
        <is>
          <t>华丽路1049号附近</t>
        </is>
      </c>
      <c r="G59" t="inlineStr">
        <is>
          <t>日间巡查</t>
        </is>
      </c>
      <c r="H59" t="inlineStr">
        <is>
          <t>胡正负</t>
        </is>
      </c>
      <c r="I59" t="inlineStr">
        <is>
          <t>13723402248</t>
        </is>
      </c>
      <c r="K59" t="inlineStr">
        <is>
          <t>34</t>
        </is>
      </c>
      <c r="L59" t="inlineStr">
        <is>
          <t>2</t>
        </is>
      </c>
      <c r="M59" t="inlineStr">
        <is>
          <t>1.无深i回收标识</t>
        </is>
      </c>
      <c r="N59" t="inlineStr">
        <is>
          <t>1.17: 转运桶应在黄线划定区域内摆放整齐并保持全天关闭（作业状态除外），禁止罩外摆桶供居民投放。（6分） (-2)
2.1: 设置标识牌，外观使用“深i回收”标识，封闭围挡，地面硬底化。（2分） (-2)</t>
        </is>
      </c>
      <c r="O59">
        <f>HYPERLINK("https://yueling-buddy.github.io/xxr-inspection-album/weeks/2026-09-03/venue/v-%E5%8D%8E%E4%B8%BD%E8%B7%AF1049%E5%8F%B7%E9%99%84%E8%BF%91_1049%E5%8F%B7%E4%B8%AD%E8%A1%8C%E5%AE%BF%E8%88%8D.html","查看证据(2项/3张)")</f>
        <v/>
      </c>
      <c r="P59" t="inlineStr">
        <is>
          <t>96.0</t>
        </is>
      </c>
      <c r="Q59" t="inlineStr">
        <is>
          <t>是</t>
        </is>
      </c>
      <c r="R59" t="inlineStr">
        <is>
          <t>处理进行中</t>
        </is>
      </c>
      <c r="S59" t="inlineStr">
        <is>
          <t>处理人处理</t>
        </is>
      </c>
      <c r="T59" t="inlineStr">
        <is>
          <t>2026-09-08</t>
        </is>
      </c>
      <c r="U59" t="inlineStr">
        <is>
          <t>2026-09-08</t>
        </is>
      </c>
      <c r="V59" t="inlineStr">
        <is>
          <t>2026-09-08 17:29:27.0</t>
        </is>
      </c>
      <c r="W59" t="inlineStr">
        <is>
          <t>4601.54</t>
        </is>
      </c>
      <c r="Y59" t="inlineStr">
        <is>
          <t>是</t>
        </is>
      </c>
      <c r="Z59" t="inlineStr">
        <is>
          <t>是</t>
        </is>
      </c>
    </row>
    <row r="60">
      <c r="A60" t="inlineStr">
        <is>
          <t>住宅小区</t>
        </is>
      </c>
      <c r="B60" t="inlineStr">
        <is>
          <t>华丽小区</t>
        </is>
      </c>
      <c r="C60" t="inlineStr">
        <is>
          <t>罗湖区</t>
        </is>
      </c>
      <c r="D60" t="inlineStr">
        <is>
          <t>黄贝街道</t>
        </is>
      </c>
      <c r="E60" t="inlineStr">
        <is>
          <t>新谊社区</t>
        </is>
      </c>
      <c r="F60" t="inlineStr">
        <is>
          <t>深圳市罗湖区黄贝街道华丽路1031号</t>
        </is>
      </c>
      <c r="G60" t="inlineStr">
        <is>
          <t>日间巡查</t>
        </is>
      </c>
      <c r="H60" t="inlineStr">
        <is>
          <t>胡正负</t>
        </is>
      </c>
      <c r="I60" t="inlineStr">
        <is>
          <t>13723402248</t>
        </is>
      </c>
      <c r="K60" t="inlineStr">
        <is>
          <t>34</t>
        </is>
      </c>
      <c r="L60" t="inlineStr">
        <is>
          <t>2</t>
        </is>
      </c>
      <c r="M60" t="inlineStr">
        <is>
          <t>1.无深i回收标识</t>
        </is>
      </c>
      <c r="N60" t="inlineStr">
        <is>
          <t>1.17: 转运桶应在黄线划定区域内摆放整齐并保持全天关闭（作业状态除外），禁止罩外摆桶供居民投放。（6分） (-2)
2.1: 设置标识牌，外观使用“深i回收”标识，封闭围挡，地面硬底化。（2分） (-2)</t>
        </is>
      </c>
      <c r="O60">
        <f>HYPERLINK("https://yueling-buddy.github.io/xxr-inspection-album/weeks/2026-09-03/venue/v-%E6%B7%B1%E5%9C%B3%E5%B8%82%E7%BD%97%E6%B9%96%E5%8C%BA%E9%BB%84%E8%B4%9D%E8%A1%97%E9%81%93%E5%8D%8E%E4%B8%BD%E8%B7%AF1031%E5%8F%B7_%E5%8D%8E%E4%B8%BD%E5%B0%8F%E5%8C%BA.html","查看证据(2项/3张)")</f>
        <v/>
      </c>
      <c r="P60" t="inlineStr">
        <is>
          <t>96.0</t>
        </is>
      </c>
      <c r="Q60" t="inlineStr">
        <is>
          <t>是</t>
        </is>
      </c>
      <c r="R60" t="inlineStr">
        <is>
          <t>处理进行中</t>
        </is>
      </c>
      <c r="S60" t="inlineStr">
        <is>
          <t>处理人处理</t>
        </is>
      </c>
      <c r="T60" t="inlineStr">
        <is>
          <t>2026-09-08</t>
        </is>
      </c>
      <c r="U60" t="inlineStr">
        <is>
          <t>2026-09-08</t>
        </is>
      </c>
      <c r="V60" t="inlineStr">
        <is>
          <t>2026-09-08 17:29:33.0</t>
        </is>
      </c>
      <c r="W60" t="inlineStr">
        <is>
          <t>3957.39</t>
        </is>
      </c>
      <c r="Y60" t="inlineStr">
        <is>
          <t>是</t>
        </is>
      </c>
      <c r="Z60" t="inlineStr">
        <is>
          <t>是</t>
        </is>
      </c>
    </row>
    <row r="61">
      <c r="A61" t="inlineStr">
        <is>
          <t>住宅小区</t>
        </is>
      </c>
      <c r="B61" t="inlineStr">
        <is>
          <t>友谊公司宿舍</t>
        </is>
      </c>
      <c r="C61" t="inlineStr">
        <is>
          <t>罗湖区</t>
        </is>
      </c>
      <c r="D61" t="inlineStr">
        <is>
          <t>黄贝街道</t>
        </is>
      </c>
      <c r="E61" t="inlineStr">
        <is>
          <t>新谊社区</t>
        </is>
      </c>
      <c r="F61" t="inlineStr">
        <is>
          <t>深圳市罗湖区黄贝街道华丽路1011号</t>
        </is>
      </c>
      <c r="G61" t="inlineStr">
        <is>
          <t>日间巡查</t>
        </is>
      </c>
      <c r="H61" t="inlineStr">
        <is>
          <t>胡正负</t>
        </is>
      </c>
      <c r="I61" t="inlineStr">
        <is>
          <t>13723402248</t>
        </is>
      </c>
      <c r="K61" t="inlineStr">
        <is>
          <t>31</t>
        </is>
      </c>
      <c r="L61" t="inlineStr">
        <is>
          <t>5</t>
        </is>
      </c>
      <c r="M61" t="inlineStr">
        <is>
          <t>1.废旧织物回收箱位置信息错误2.无深i回收标识</t>
        </is>
      </c>
      <c r="N61" t="inlineStr">
        <is>
          <t>1.6: 设置洗手设施。（2分） (-1)
1.7: 设置照明设施，夜间光线充足。（2分） (-1)
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
2.1: 设置标识牌，外观使用“深i回收”标识，封闭围挡，地面硬底化。（2分） (-2)</t>
        </is>
      </c>
      <c r="O61">
        <f>HYPERLINK("https://yueling-buddy.github.io/xxr-inspection-album/weeks/2026-09-03/venue/v-%E6%B7%B1%E5%9C%B3%E5%B8%82%E7%BD%97%E6%B9%96%E5%8C%BA%E9%BB%84%E8%B4%9D%E8%A1%97%E9%81%93%E5%8D%8E%E4%B8%BD%E8%B7%AF1011%E5%8F%B7_%E5%8F%8B%E8%B0%8A%E5%85%AC%E5%8F%B8%E5%AE%BF%E8%88%8D.html","查看证据(5项/6张)")</f>
        <v/>
      </c>
      <c r="P61" t="inlineStr">
        <is>
          <t>92.0</t>
        </is>
      </c>
      <c r="Q61" t="inlineStr">
        <is>
          <t>是</t>
        </is>
      </c>
      <c r="R61" t="inlineStr">
        <is>
          <t>处理进行中</t>
        </is>
      </c>
      <c r="S61" t="inlineStr">
        <is>
          <t>处理人处理</t>
        </is>
      </c>
      <c r="T61" t="inlineStr">
        <is>
          <t>2026-09-08</t>
        </is>
      </c>
      <c r="U61" t="inlineStr">
        <is>
          <t>2026-09-08</t>
        </is>
      </c>
      <c r="V61" t="inlineStr">
        <is>
          <t>2026-09-08 17:29:36.0</t>
        </is>
      </c>
      <c r="W61" t="inlineStr">
        <is>
          <t>3325.41</t>
        </is>
      </c>
      <c r="Y61" t="inlineStr">
        <is>
          <t>是</t>
        </is>
      </c>
      <c r="Z61" t="inlineStr">
        <is>
          <t>是</t>
        </is>
      </c>
    </row>
    <row r="62">
      <c r="A62" t="inlineStr">
        <is>
          <t>住宅小区</t>
        </is>
      </c>
      <c r="B62" t="inlineStr">
        <is>
          <t>凤凰路166号大院</t>
        </is>
      </c>
      <c r="C62" t="inlineStr">
        <is>
          <t>罗湖区</t>
        </is>
      </c>
      <c r="D62" t="inlineStr">
        <is>
          <t>黄贝街道</t>
        </is>
      </c>
      <c r="E62" t="inlineStr">
        <is>
          <t>新谊社区</t>
        </is>
      </c>
      <c r="F62" t="inlineStr">
        <is>
          <t>深圳市罗湖区黄贝街道凤凰路166号</t>
        </is>
      </c>
      <c r="G62" t="inlineStr">
        <is>
          <t>日间巡查</t>
        </is>
      </c>
      <c r="H62" t="inlineStr">
        <is>
          <t>胡正负</t>
        </is>
      </c>
      <c r="I62" t="inlineStr">
        <is>
          <t>13723402248</t>
        </is>
      </c>
      <c r="K62" t="inlineStr">
        <is>
          <t>33</t>
        </is>
      </c>
      <c r="L62" t="inlineStr">
        <is>
          <t>3</t>
        </is>
      </c>
      <c r="M62" t="inlineStr">
        <is>
          <t>1.模糊不清2.无深i标识</t>
        </is>
      </c>
      <c r="N62" t="inlineStr">
        <is>
          <t>1.6: 设置洗手设施。（2分） (-1)
1.8: 设置公示牌，清晰公示管理责任人和电话、专项垃圾暂存点和废旧织物回收箱位置、厨余垃圾投放时段、各类垃圾收运处理企业等信息。（4分） (-2)
2.1: 设置标识牌，外观使用“深i回收”标识，封闭围挡，地面硬底化。（2分） (-2)</t>
        </is>
      </c>
      <c r="O62">
        <f>HYPERLINK("https://yueling-buddy.github.io/xxr-inspection-album/weeks/2026-09-03/venue/v-%E6%B7%B1%E5%9C%B3%E5%B8%82%E7%BD%97%E6%B9%96%E5%8C%BA%E9%BB%84%E8%B4%9D%E8%A1%97%E9%81%93%E5%87%A4%E5%87%B0%E8%B7%AF166%E5%8F%B7_%E5%87%A4%E5%87%B0%E8%B7%AF166%E5%8F%B7%E5%A4%A7%E9%99%A2.html","查看证据(3项/4张)")</f>
        <v/>
      </c>
      <c r="P62" t="inlineStr">
        <is>
          <t>95.0</t>
        </is>
      </c>
      <c r="Q62" t="inlineStr">
        <is>
          <t>是</t>
        </is>
      </c>
      <c r="R62" t="inlineStr">
        <is>
          <t>处理进行中</t>
        </is>
      </c>
      <c r="S62" t="inlineStr">
        <is>
          <t>处理人处理</t>
        </is>
      </c>
      <c r="T62" t="inlineStr">
        <is>
          <t>2026-09-08</t>
        </is>
      </c>
      <c r="U62" t="inlineStr">
        <is>
          <t>2026-09-08</t>
        </is>
      </c>
      <c r="V62" t="inlineStr">
        <is>
          <t>2026-09-08 17:29:40.0</t>
        </is>
      </c>
      <c r="W62" t="inlineStr">
        <is>
          <t>679.12</t>
        </is>
      </c>
      <c r="Y62" t="inlineStr">
        <is>
          <t>是</t>
        </is>
      </c>
      <c r="Z62" t="inlineStr">
        <is>
          <t>否</t>
        </is>
      </c>
    </row>
    <row r="63">
      <c r="A63" t="inlineStr">
        <is>
          <t>餐饮场所</t>
        </is>
      </c>
      <c r="B63" t="inlineStr">
        <is>
          <t>粤海渔港</t>
        </is>
      </c>
      <c r="C63" t="inlineStr">
        <is>
          <t>光明区</t>
        </is>
      </c>
      <c r="D63" t="inlineStr">
        <is>
          <t>公明街道</t>
        </is>
      </c>
      <c r="E63" t="inlineStr">
        <is>
          <t>公明社区</t>
        </is>
      </c>
      <c r="F63" t="inlineStr">
        <is>
          <t>广东省深圳市光明区公明街道振明路161号四季星城</t>
        </is>
      </c>
      <c r="G63" t="inlineStr">
        <is>
          <t>日间巡查</t>
        </is>
      </c>
      <c r="H63" t="inlineStr">
        <is>
          <t>苏成龙</t>
        </is>
      </c>
      <c r="I63" t="inlineStr">
        <is>
          <t>18307612379</t>
        </is>
      </c>
      <c r="J63" t="inlineStr">
        <is>
          <t>门店地址已改为凤凰酒楼</t>
        </is>
      </c>
      <c r="K63" t="inlineStr">
        <is>
          <t>9</t>
        </is>
      </c>
      <c r="L63" t="inlineStr">
        <is>
          <t>2</t>
        </is>
      </c>
      <c r="M63" t="inlineStr">
        <is>
          <t>1.无需填写2.无需填写</t>
        </is>
      </c>
      <c r="N63" t="inlineStr">
        <is>
          <t>1.1: 后厨区摆放可回收物、厨余垃圾、其他垃圾收集容器。（6分） (-6)
3.1: 用餐区张贴或摆放光盘行动、节约粮食等宣传海报或温馨提示。（5分） (-5)</t>
        </is>
      </c>
      <c r="O63">
        <f>HYPERLINK("https://yueling-buddy.github.io/xxr-inspection-album/weeks/2026-09-03/venue/v-%E5%B9%BF%E4%B8%9C%E7%9C%81%E6%B7%B1%E5%9C%B3%E5%B8%82%E5%85%89%E6%98%8E%E5%8C%BA%E5%85%AC%E6%98%8E%E8%A1%97%E9%81%93%E6%8C%AF%E6%98%8E%E8%B7%AF161%E5%8F%B7%E5%9B%9B%E5%AD%A3%E6%98%9F%E5%9F%8E_%E7%B2%A4%E6%B5%B7%E6%B8%94%E6%B8%AF.html","查看证据(2项/3张)")</f>
        <v/>
      </c>
      <c r="P63" t="inlineStr">
        <is>
          <t>89.0</t>
        </is>
      </c>
      <c r="Q63" t="inlineStr">
        <is>
          <t>是</t>
        </is>
      </c>
      <c r="R63" t="inlineStr">
        <is>
          <t>处理进行中</t>
        </is>
      </c>
      <c r="S63" t="inlineStr">
        <is>
          <t>处理人处理</t>
        </is>
      </c>
      <c r="T63" t="inlineStr">
        <is>
          <t>2026-09-09</t>
        </is>
      </c>
      <c r="U63" t="inlineStr">
        <is>
          <t>2026-09-08</t>
        </is>
      </c>
      <c r="V63" t="inlineStr">
        <is>
          <t>2026-09-09 10:14:11.0</t>
        </is>
      </c>
      <c r="W63" t="inlineStr">
        <is>
          <t>766.21</t>
        </is>
      </c>
      <c r="Y63" t="inlineStr">
        <is>
          <t>否</t>
        </is>
      </c>
      <c r="Z63" t="inlineStr">
        <is>
          <t>否</t>
        </is>
      </c>
    </row>
    <row r="64">
      <c r="A64" t="inlineStr">
        <is>
          <t>城中村</t>
        </is>
      </c>
      <c r="B64" t="inlineStr">
        <is>
          <t>南四巷</t>
        </is>
      </c>
      <c r="C64" t="inlineStr">
        <is>
          <t>光明区</t>
        </is>
      </c>
      <c r="D64" t="inlineStr">
        <is>
          <t>公明街道</t>
        </is>
      </c>
      <c r="E64" t="inlineStr">
        <is>
          <t>公明社区</t>
        </is>
      </c>
      <c r="F64" t="inlineStr">
        <is>
          <t>广东省深圳市光明区公明街道康乐路公明街心公园</t>
        </is>
      </c>
      <c r="G64" t="inlineStr">
        <is>
          <t>日间巡查</t>
        </is>
      </c>
      <c r="H64" t="inlineStr">
        <is>
          <t>苏成龙</t>
        </is>
      </c>
      <c r="I64" t="inlineStr">
        <is>
          <t>18307612379</t>
        </is>
      </c>
      <c r="K64" t="inlineStr">
        <is>
          <t>30</t>
        </is>
      </c>
      <c r="L64" t="inlineStr">
        <is>
          <t>2</t>
        </is>
      </c>
      <c r="M64" t="inlineStr">
        <is>
          <t>1.未张贴误时投放标识2.无需填写</t>
        </is>
      </c>
      <c r="N64" t="inlineStr">
        <is>
          <t>1.4: 至少设置一处厨余垃圾误时投放点，张贴误时投放点标识，并保持24小时开放。（2分） (-2)
2.4: 暂存点及其周围环境干净整洁，没有污水积聚或散落垃圾，禁止存放易燃易爆危险品，禁止违规接电、住人。（2分） (-2)</t>
        </is>
      </c>
      <c r="O64">
        <f>HYPERLINK("https://yueling-buddy.github.io/xxr-inspection-album/weeks/2026-09-03/venue/v-%E5%B9%BF%E4%B8%9C%E7%9C%81%E6%B7%B1%E5%9C%B3%E5%B8%82%E5%85%89%E6%98%8E%E5%8C%BA%E5%85%AC%E6%98%8E%E8%A1%97%E9%81%93%E5%BA%B7%E4%B9%90%E8%B7%AF%E5%85%AC%E6%98%8E%E8%A1%97%E5%BF%83%E5%85%AC%E5%9B%AD_%E5%8D%97%E5%9B%9B%E5%B7%B7.html","查看证据(2项/4张)")</f>
        <v/>
      </c>
      <c r="P64" t="inlineStr">
        <is>
          <t>96.0</t>
        </is>
      </c>
      <c r="Q64" t="inlineStr">
        <is>
          <t>是</t>
        </is>
      </c>
      <c r="R64" t="inlineStr">
        <is>
          <t>处理进行中</t>
        </is>
      </c>
      <c r="S64" t="inlineStr">
        <is>
          <t>处理人处理</t>
        </is>
      </c>
      <c r="T64" t="inlineStr">
        <is>
          <t>2026-09-09</t>
        </is>
      </c>
      <c r="U64" t="inlineStr">
        <is>
          <t>2026-09-08</t>
        </is>
      </c>
      <c r="V64" t="inlineStr">
        <is>
          <t>2026-09-09 10:14:04.0</t>
        </is>
      </c>
      <c r="W64" t="inlineStr">
        <is>
          <t>990.24</t>
        </is>
      </c>
      <c r="Y64" t="inlineStr">
        <is>
          <t>是</t>
        </is>
      </c>
      <c r="Z64" t="inlineStr">
        <is>
          <t>否</t>
        </is>
      </c>
    </row>
    <row r="65">
      <c r="A65" t="inlineStr">
        <is>
          <t>产业园区</t>
        </is>
      </c>
      <c r="B65" t="inlineStr">
        <is>
          <t>铁甲工业园</t>
        </is>
      </c>
      <c r="C65" t="inlineStr">
        <is>
          <t>光明区</t>
        </is>
      </c>
      <c r="D65" t="inlineStr">
        <is>
          <t>公明街道</t>
        </is>
      </c>
      <c r="E65" t="inlineStr">
        <is>
          <t>公明社区</t>
        </is>
      </c>
      <c r="F65" t="inlineStr">
        <is>
          <t>广东省深圳市光明区公明街道铁甲科技园</t>
        </is>
      </c>
      <c r="G65" t="inlineStr">
        <is>
          <t>日间巡查</t>
        </is>
      </c>
      <c r="H65" t="inlineStr">
        <is>
          <t>苏成龙</t>
        </is>
      </c>
      <c r="I65" t="inlineStr">
        <is>
          <t>18307612379</t>
        </is>
      </c>
      <c r="K65" t="inlineStr">
        <is>
          <t>13</t>
        </is>
      </c>
      <c r="L65" t="inlineStr">
        <is>
          <t>3</t>
        </is>
      </c>
      <c r="M65" t="inlineStr">
        <is>
          <t>1.未放置内桶，内桶盖未打开不能正常投放使用，摆放不整齐为规范设置黄线划定区等2.脏污，异味外溢等3.工业垃圾与生活垃圾混装</t>
        </is>
      </c>
      <c r="N65" t="inlineStr">
        <is>
          <t>1.7: 各设施齐全完好，摆放整齐有序，使用功能正常，没有严重破损、陈旧问题。 (-6)
2.1: 收集容器保持干净整洁，避免陈旧性脏污。 (-2)
2.4: 禁止向生活垃圾收集设施投放工业固体废物。 (-6)</t>
        </is>
      </c>
      <c r="O65">
        <f>HYPERLINK("https://yueling-buddy.github.io/xxr-inspection-album/weeks/2026-09-03/venue/v-%E5%B9%BF%E4%B8%9C%E7%9C%81%E6%B7%B1%E5%9C%B3%E5%B8%82%E5%85%89%E6%98%8E%E5%8C%BA%E5%85%AC%E6%98%8E%E8%A1%97%E9%81%93%E9%93%81%E7%94%B2%E7%A7%91%E6%8A%80%E5%9B%AD_%E9%93%81%E7%94%B2%E5%B7%A5%E4%B8%9A%E5%9B%AD.html","查看证据(3项/11张)")</f>
        <v/>
      </c>
      <c r="P65" t="inlineStr">
        <is>
          <t>86.0</t>
        </is>
      </c>
      <c r="Q65" t="inlineStr">
        <is>
          <t>是</t>
        </is>
      </c>
      <c r="R65" t="inlineStr">
        <is>
          <t>处理进行中</t>
        </is>
      </c>
      <c r="S65" t="inlineStr">
        <is>
          <t>处理人处理</t>
        </is>
      </c>
      <c r="T65" t="inlineStr">
        <is>
          <t>2026-09-09</t>
        </is>
      </c>
      <c r="U65" t="inlineStr">
        <is>
          <t>2026-09-08</t>
        </is>
      </c>
      <c r="V65" t="inlineStr">
        <is>
          <t>2026-09-09 10:14:00.0</t>
        </is>
      </c>
      <c r="W65" t="inlineStr">
        <is>
          <t>815.96</t>
        </is>
      </c>
      <c r="Y65" t="inlineStr">
        <is>
          <t>否</t>
        </is>
      </c>
      <c r="Z65" t="inlineStr">
        <is>
          <t>否</t>
        </is>
      </c>
    </row>
    <row r="66">
      <c r="A66" t="inlineStr">
        <is>
          <t>城中村</t>
        </is>
      </c>
      <c r="B66" t="inlineStr">
        <is>
          <t>旧街片区</t>
        </is>
      </c>
      <c r="C66" t="inlineStr">
        <is>
          <t>光明区</t>
        </is>
      </c>
      <c r="D66" t="inlineStr">
        <is>
          <t>公明街道</t>
        </is>
      </c>
      <c r="E66" t="inlineStr">
        <is>
          <t>公明社区</t>
        </is>
      </c>
      <c r="F66" t="inlineStr">
        <is>
          <t>广东省深圳市光明区公明街道公明解放街海信花园(富利路)</t>
        </is>
      </c>
      <c r="G66" t="inlineStr">
        <is>
          <t>日间巡查</t>
        </is>
      </c>
      <c r="H66" t="inlineStr">
        <is>
          <t>苏成龙</t>
        </is>
      </c>
      <c r="I66" t="inlineStr">
        <is>
          <t>18307612379</t>
        </is>
      </c>
      <c r="J66" t="inlineStr">
        <is>
          <t>铁甲工业园投放点不属于城中村投放点使用，属于工业园区的</t>
        </is>
      </c>
      <c r="K66" t="inlineStr">
        <is>
          <t>25</t>
        </is>
      </c>
      <c r="L66" t="inlineStr">
        <is>
          <t>7</t>
        </is>
      </c>
      <c r="M66" t="inlineStr">
        <is>
          <t>1.未张贴误时投放标识2.无需填写3.无需填写4.锈蚀5.无需填写6.积水青苔容易打滑7.无需填写</t>
        </is>
      </c>
      <c r="N66" t="inlineStr">
        <is>
          <t>1.4: 至少设置一处厨余垃圾误时投放点，张贴误时投放点标识，并保持24小时开放。（2分） (-2)
1.6: 设置洗手设施。（2分） (-1)
1.8: 设置公示牌，清晰公示管理责任人和电话、专项垃圾暂存点和废旧织物回收箱位置、厨余垃圾投放时段、各类垃圾收运处理企业等信息。（4分） (-4)
1.9: 各设施齐全完好，摆放整齐有序，使用功能正常，没有严重破损、陈旧问题，不得拆除投放口盖板支撑杆。（6分） (-2)
1.13: 收集容器外壁及内桶保持干净整洁，避免陈旧性脏污，收集容器内无积水。（6分） (-3)
1.14: 各类垃圾及时清运，投放点及其周围环境干净整洁，没有垃圾满溢、暴露垃圾、杂物堆放、严重积水或明显异味等问题。（6分） (-2)
2.4: 暂存点及其周围环境干净整洁，没有污水积聚或散落垃圾，禁止存放易燃易爆危险品，禁止违规接电、住人。（2分） (-2)</t>
        </is>
      </c>
      <c r="O66">
        <f>HYPERLINK("https://yueling-buddy.github.io/xxr-inspection-album/weeks/2026-09-03/venue/v-%E5%B9%BF%E4%B8%9C%E7%9C%81%E6%B7%B1%E5%9C%B3%E5%B8%82%E5%85%89%E6%98%8E%E5%8C%BA%E5%85%AC%E6%98%8E%E8%A1%97%E9%81%93%E5%85%AC%E6%98%8E%E8%A7%A3%E6%94%BE%E8%A1%97%E6%B5%B7%E4%BF%A1%E8%8A%B1%E5%9B%AD_%E5%AF%8C%E5%88%A9%E8%B7%AF_%E6%97%A7%E8%A1%97%E7%89%87%E5%8C%BA.html","查看证据(7项/14张)")</f>
        <v/>
      </c>
      <c r="P66" t="inlineStr">
        <is>
          <t>84.0</t>
        </is>
      </c>
      <c r="Q66" t="inlineStr">
        <is>
          <t>是</t>
        </is>
      </c>
      <c r="R66" t="inlineStr">
        <is>
          <t>处理进行中</t>
        </is>
      </c>
      <c r="S66" t="inlineStr">
        <is>
          <t>处理人处理</t>
        </is>
      </c>
      <c r="T66" t="inlineStr">
        <is>
          <t>2026-09-09</t>
        </is>
      </c>
      <c r="U66" t="inlineStr">
        <is>
          <t>2026-09-08</t>
        </is>
      </c>
      <c r="V66" t="inlineStr">
        <is>
          <t>2026-09-09 10:13:44.0</t>
        </is>
      </c>
      <c r="W66" t="inlineStr">
        <is>
          <t>816.3</t>
        </is>
      </c>
      <c r="Y66" t="inlineStr">
        <is>
          <t>是</t>
        </is>
      </c>
      <c r="Z66" t="inlineStr">
        <is>
          <t>否</t>
        </is>
      </c>
    </row>
    <row r="67">
      <c r="A67" t="inlineStr">
        <is>
          <t>住宅小区</t>
        </is>
      </c>
      <c r="B67" t="inlineStr">
        <is>
          <t>骏皇名居</t>
        </is>
      </c>
      <c r="C67" t="inlineStr">
        <is>
          <t>福田区</t>
        </is>
      </c>
      <c r="D67" t="inlineStr">
        <is>
          <t>福保街道</t>
        </is>
      </c>
      <c r="E67" t="inlineStr">
        <is>
          <t>福保社区</t>
        </is>
      </c>
      <c r="F67" t="inlineStr">
        <is>
          <t>福强路2069号</t>
        </is>
      </c>
      <c r="G67" t="inlineStr">
        <is>
          <t>夜间巡查</t>
        </is>
      </c>
      <c r="H67" t="inlineStr">
        <is>
          <t>陈亮</t>
        </is>
      </c>
      <c r="I67" t="inlineStr">
        <is>
          <t>17302662710</t>
        </is>
      </c>
      <c r="K67" t="inlineStr">
        <is>
          <t>30</t>
        </is>
      </c>
      <c r="L67" t="inlineStr">
        <is>
          <t>6</t>
        </is>
      </c>
      <c r="M67" t="inlineStr">
        <is>
          <t>1.未张贴深i回收标识</t>
        </is>
      </c>
      <c r="N67"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1.13: 收集容器外壁及内桶保持干净整洁，避免陈旧性脏污，收集容器内无积水。（4分） (-2)
1.16: 禁止通过捆绑、卡挡或上锁等方式封闭或遮挡投放口。（4分） (-2)
1.17: 转运桶应在黄线划定区域内摆放整齐并保持全天关闭（作业状态除外），禁止罩外摆桶供居民投放。（6分） (-4)
2.1: 设置标识牌，外观使用“深i回收”标识，封闭围挡，地面硬底化。（2分） (-2)</t>
        </is>
      </c>
      <c r="O67">
        <f>HYPERLINK("https://yueling-buddy.github.io/xxr-inspection-album/weeks/2026-09-03/venue/v-%E7%A6%8F%E5%BC%BA%E8%B7%AF2069%E5%8F%B7_%E9%AA%8F%E7%9A%87%E5%90%8D%E5%B1%85.html","查看证据(6项/11张)")</f>
        <v/>
      </c>
      <c r="P67" t="inlineStr">
        <is>
          <t>86.0</t>
        </is>
      </c>
      <c r="Q67" t="inlineStr">
        <is>
          <t>是</t>
        </is>
      </c>
      <c r="R67" t="inlineStr">
        <is>
          <t>处理进行中</t>
        </is>
      </c>
      <c r="S67" t="inlineStr">
        <is>
          <t>处理人处理</t>
        </is>
      </c>
      <c r="T67" t="inlineStr">
        <is>
          <t>2026-09-08</t>
        </is>
      </c>
      <c r="U67" t="inlineStr">
        <is>
          <t>2026-09-07</t>
        </is>
      </c>
      <c r="V67" t="inlineStr">
        <is>
          <t>2026-09-08 17:29:49.0</t>
        </is>
      </c>
      <c r="W67" t="inlineStr">
        <is>
          <t>13344.48</t>
        </is>
      </c>
      <c r="Y67" t="inlineStr">
        <is>
          <t>是</t>
        </is>
      </c>
      <c r="Z67" t="inlineStr">
        <is>
          <t>是</t>
        </is>
      </c>
    </row>
    <row r="68">
      <c r="A68" t="inlineStr">
        <is>
          <t>住宅小区</t>
        </is>
      </c>
      <c r="B68" t="inlineStr">
        <is>
          <t>银泰苑</t>
        </is>
      </c>
      <c r="C68" t="inlineStr">
        <is>
          <t>福田区</t>
        </is>
      </c>
      <c r="D68" t="inlineStr">
        <is>
          <t>福保街道</t>
        </is>
      </c>
      <c r="E68" t="inlineStr">
        <is>
          <t>福保社区</t>
        </is>
      </c>
      <c r="F68" t="inlineStr">
        <is>
          <t>福强路2053号银泰苑</t>
        </is>
      </c>
      <c r="G68" t="inlineStr">
        <is>
          <t>夜间巡查</t>
        </is>
      </c>
      <c r="H68" t="inlineStr">
        <is>
          <t>陈亮</t>
        </is>
      </c>
      <c r="I68" t="inlineStr">
        <is>
          <t>17302662710</t>
        </is>
      </c>
      <c r="K68" t="inlineStr">
        <is>
          <t>31</t>
        </is>
      </c>
      <c r="L68" t="inlineStr">
        <is>
          <t>5</t>
        </is>
      </c>
      <c r="N68"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1.13: 收集容器外壁及内桶保持干净整洁，避免陈旧性脏污，收集容器内无积水。（4分） (-2)
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68">
        <f>HYPERLINK("https://yueling-buddy.github.io/xxr-inspection-album/weeks/2026-09-03/venue/v-%E7%A6%8F%E5%BC%BA%E8%B7%AF2053%E5%8F%B7%E9%93%B6%E6%B3%B0%E8%8B%91_%E9%93%B6%E6%B3%B0%E8%8B%91.html","查看证据(5项/11张)")</f>
        <v/>
      </c>
      <c r="P68" t="inlineStr">
        <is>
          <t>90.0</t>
        </is>
      </c>
      <c r="Q68" t="inlineStr">
        <is>
          <t>是</t>
        </is>
      </c>
      <c r="R68" t="inlineStr">
        <is>
          <t>处理进行中</t>
        </is>
      </c>
      <c r="S68" t="inlineStr">
        <is>
          <t>处理人处理</t>
        </is>
      </c>
      <c r="T68" t="inlineStr">
        <is>
          <t>2026-09-08</t>
        </is>
      </c>
      <c r="U68" t="inlineStr">
        <is>
          <t>2026-09-07</t>
        </is>
      </c>
      <c r="V68" t="inlineStr">
        <is>
          <t>2026-09-08 17:29:53.0</t>
        </is>
      </c>
      <c r="W68" t="inlineStr">
        <is>
          <t>13394.71</t>
        </is>
      </c>
      <c r="Y68" t="inlineStr">
        <is>
          <t>是</t>
        </is>
      </c>
      <c r="Z68" t="inlineStr">
        <is>
          <t>是</t>
        </is>
      </c>
    </row>
    <row r="69">
      <c r="A69" t="inlineStr">
        <is>
          <t>住宅小区</t>
        </is>
      </c>
      <c r="B69" t="inlineStr">
        <is>
          <t>南光名仕苑</t>
        </is>
      </c>
      <c r="C69" t="inlineStr">
        <is>
          <t>福田区</t>
        </is>
      </c>
      <c r="D69" t="inlineStr">
        <is>
          <t>福保街道</t>
        </is>
      </c>
      <c r="E69" t="inlineStr">
        <is>
          <t>福保社区</t>
        </is>
      </c>
      <c r="F69" t="inlineStr">
        <is>
          <t>菩提路48号</t>
        </is>
      </c>
      <c r="G69" t="inlineStr">
        <is>
          <t>夜间巡查</t>
        </is>
      </c>
      <c r="H69" t="inlineStr">
        <is>
          <t>陈亮</t>
        </is>
      </c>
      <c r="I69" t="inlineStr">
        <is>
          <t>17302662710</t>
        </is>
      </c>
      <c r="K69" t="inlineStr">
        <is>
          <t>30</t>
        </is>
      </c>
      <c r="L69" t="inlineStr">
        <is>
          <t>6</t>
        </is>
      </c>
      <c r="M69" t="inlineStr">
        <is>
          <t>1.保洁员称该桶罩门锁损坏，无法打开2.未张贴深i回收标识</t>
        </is>
      </c>
      <c r="N69" t="inlineStr">
        <is>
          <t>1.5: 分类标志完整、正确、清晰，各类垃圾收集容器外罩和内桶的颜色正确。（4分） (-2)
1.9: 各设施齐全完好，摆放整齐有序，使用功能正常，没有严重破损、陈旧问题，不得拆除投放口盖板支撑杆。（6分） (-4)
1.17: 转运桶应在黄线划定区域内摆放整齐并保持全天关闭（作业状态除外），禁止罩外摆桶供居民投放。（6分） (-2)
2.1: 设置标识牌，外观使用“深i回收”标识，封闭围挡，地面硬底化。（2分） (-2)
2.2: 设置消防设施，使用功能正常，取用方便。（2分） (-2)
3.2: 暂存点及其周围环境干净整洁，各类桶整齐、密闭摆放，没有污水积聚或散落垃圾。（2分） (-2)</t>
        </is>
      </c>
      <c r="O69">
        <f>HYPERLINK("https://yueling-buddy.github.io/xxr-inspection-album/weeks/2026-09-03/venue/v-%E8%8F%A9%E6%8F%90%E8%B7%AF48%E5%8F%B7_%E5%8D%97%E5%85%89%E5%90%8D%E4%BB%95%E8%8B%91.html","查看证据(6项/10张)")</f>
        <v/>
      </c>
      <c r="P69" t="inlineStr">
        <is>
          <t>86.0</t>
        </is>
      </c>
      <c r="Q69" t="inlineStr">
        <is>
          <t>是</t>
        </is>
      </c>
      <c r="R69" t="inlineStr">
        <is>
          <t>处理进行中</t>
        </is>
      </c>
      <c r="S69" t="inlineStr">
        <is>
          <t>处理人处理</t>
        </is>
      </c>
      <c r="T69" t="inlineStr">
        <is>
          <t>2026-09-08</t>
        </is>
      </c>
      <c r="U69" t="inlineStr">
        <is>
          <t>2026-09-07</t>
        </is>
      </c>
      <c r="V69" t="inlineStr">
        <is>
          <t>2026-09-08 17:29:56.0</t>
        </is>
      </c>
      <c r="W69" t="inlineStr">
        <is>
          <t>13451.07</t>
        </is>
      </c>
      <c r="Y69" t="inlineStr">
        <is>
          <t>是</t>
        </is>
      </c>
      <c r="Z69" t="inlineStr">
        <is>
          <t>是</t>
        </is>
      </c>
    </row>
    <row r="70">
      <c r="A70" t="inlineStr">
        <is>
          <t>住宅小区</t>
        </is>
      </c>
      <c r="B70" t="inlineStr">
        <is>
          <t>嘉福花园</t>
        </is>
      </c>
      <c r="C70" t="inlineStr">
        <is>
          <t>福田区</t>
        </is>
      </c>
      <c r="D70" t="inlineStr">
        <is>
          <t>福保街道</t>
        </is>
      </c>
      <c r="E70" t="inlineStr">
        <is>
          <t>福保社区</t>
        </is>
      </c>
      <c r="F70" t="inlineStr">
        <is>
          <t>深圳市福田保税区菩提路18号嘉福花园</t>
        </is>
      </c>
      <c r="G70" t="inlineStr">
        <is>
          <t>夜间巡查</t>
        </is>
      </c>
      <c r="H70" t="inlineStr">
        <is>
          <t>陈亮</t>
        </is>
      </c>
      <c r="I70" t="inlineStr">
        <is>
          <t>17302662710</t>
        </is>
      </c>
      <c r="K70" t="inlineStr">
        <is>
          <t>30</t>
        </is>
      </c>
      <c r="L70" t="inlineStr">
        <is>
          <t>6</t>
        </is>
      </c>
      <c r="N70" t="inlineStr">
        <is>
          <t>1.9: 各设施齐全完好，摆放整齐有序，使用功能正常，没有严重破损、陈旧问题，不得拆除投放口盖板支撑杆。（6分） (-4)
1.13: 收集容器外壁及内桶保持干净整洁，避免陈旧性脏污，收集容器内无积水。（4分） (-2)
1.14: 各类垃圾及时清运，投放点及其周围环境干净整洁，没有垃圾满溢、暴露垃圾、杂物堆放、严重积水或明显异味等问题。（6分） (-2)
1.16: 禁止通过捆绑、卡挡或上锁等方式封闭或遮挡投放口。（4分） (-2)
1.17: 转运桶应在黄线划定区域内摆放整齐并保持全天关闭（作业状态除外），禁止罩外摆桶供居民投放。（6分） (-4)
5.5: 回收箱及周边环境干净整洁，无垃圾满溢、暴露垃圾或杂物堆放等问题。（2分） (-2)</t>
        </is>
      </c>
      <c r="O70">
        <f>HYPERLINK("https://yueling-buddy.github.io/xxr-inspection-album/weeks/2026-09-03/venue/v-%E6%B7%B1%E5%9C%B3%E5%B8%82%E7%A6%8F%E7%94%B0%E4%BF%9D%E7%A8%8E%E5%8C%BA%E8%8F%A9%E6%8F%90%E8%B7%AF18%E5%8F%B7%E5%98%89%E7%A6%8F%E8%8A%B1%E5%9B%AD_%E5%98%89%E7%A6%8F%E8%8A%B1%E5%9B%AD.html","查看证据(6项/10张)")</f>
        <v/>
      </c>
      <c r="P70" t="inlineStr">
        <is>
          <t>84.0</t>
        </is>
      </c>
      <c r="Q70" t="inlineStr">
        <is>
          <t>是</t>
        </is>
      </c>
      <c r="R70" t="inlineStr">
        <is>
          <t>处理进行中</t>
        </is>
      </c>
      <c r="S70" t="inlineStr">
        <is>
          <t>处理人处理</t>
        </is>
      </c>
      <c r="T70" t="inlineStr">
        <is>
          <t>2026-09-08</t>
        </is>
      </c>
      <c r="U70" t="inlineStr">
        <is>
          <t>2026-09-07</t>
        </is>
      </c>
      <c r="V70" t="inlineStr">
        <is>
          <t>2026-09-08 17:29:59.0</t>
        </is>
      </c>
      <c r="W70" t="inlineStr">
        <is>
          <t>13655.77</t>
        </is>
      </c>
      <c r="Y70" t="inlineStr">
        <is>
          <t>是</t>
        </is>
      </c>
      <c r="Z70" t="inlineStr">
        <is>
          <t>是</t>
        </is>
      </c>
    </row>
    <row r="71">
      <c r="A71" t="inlineStr">
        <is>
          <t>住宅小区</t>
        </is>
      </c>
      <c r="B71" t="inlineStr">
        <is>
          <t>鸿洲新都</t>
        </is>
      </c>
      <c r="C71" t="inlineStr">
        <is>
          <t>南山区</t>
        </is>
      </c>
      <c r="D71" t="inlineStr">
        <is>
          <t>南头街道</t>
        </is>
      </c>
      <c r="E71" t="inlineStr">
        <is>
          <t>红花园社区</t>
        </is>
      </c>
      <c r="F71" t="inlineStr">
        <is>
          <t>广东省深圳市南山区南头街道鸿洲新都鸿洲新都首城</t>
        </is>
      </c>
      <c r="G71" t="inlineStr">
        <is>
          <t>夜间巡查</t>
        </is>
      </c>
      <c r="H71" t="inlineStr">
        <is>
          <t>苏成龙</t>
        </is>
      </c>
      <c r="I71" t="inlineStr">
        <is>
          <t>18307612379</t>
        </is>
      </c>
      <c r="K71" t="inlineStr">
        <is>
          <t>31</t>
        </is>
      </c>
      <c r="L71" t="inlineStr">
        <is>
          <t>5</t>
        </is>
      </c>
      <c r="M71" t="inlineStr">
        <is>
          <t>1.支撑杆损坏缺失2.无需填写3.无需填写4.无需填写5.未使用“深i回收”标识</t>
        </is>
      </c>
      <c r="N71" t="inlineStr">
        <is>
          <t>1.9: 各设施齐全完好，摆放整齐有序，使用功能正常，没有严重破损、陈旧问题，不得拆除投放口盖板支撑杆。（6分） (-2)
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t>
        </is>
      </c>
      <c r="O71">
        <f>HYPERLINK("https://yueling-buddy.github.io/xxr-inspection-album/weeks/2026-09-03/venue/v-%E5%B9%BF%E4%B8%9C%E7%9C%81%E6%B7%B1%E5%9C%B3%E5%B8%82%E5%8D%97%E5%B1%B1%E5%8C%BA%E5%8D%97%E5%A4%B4%E8%A1%97%E9%81%93%E9%B8%BF%E6%B4%B2%E6%96%B0%E9%83%BD%E9%B8%BF%E6%B4%B2%E6%96%B0%E9%83%BD%E9%A6%96%E5%9F%8E_%E9%B8%BF%E6%B4%B2%E6%96%B0%E9%83%BD.html","查看证据(5项/7张)")</f>
        <v/>
      </c>
      <c r="P71" t="inlineStr">
        <is>
          <t>90.0</t>
        </is>
      </c>
      <c r="Q71" t="inlineStr">
        <is>
          <t>是</t>
        </is>
      </c>
      <c r="R71" t="inlineStr">
        <is>
          <t>处理进行中</t>
        </is>
      </c>
      <c r="S71" t="inlineStr">
        <is>
          <t>处理人处理</t>
        </is>
      </c>
      <c r="T71" t="inlineStr">
        <is>
          <t>2026-09-08</t>
        </is>
      </c>
      <c r="U71" t="inlineStr">
        <is>
          <t>2026-09-07</t>
        </is>
      </c>
      <c r="V71" t="inlineStr">
        <is>
          <t>2026-09-08 09:56:49.0</t>
        </is>
      </c>
      <c r="W71" t="inlineStr">
        <is>
          <t>2483.57</t>
        </is>
      </c>
      <c r="Y71" t="inlineStr">
        <is>
          <t>否</t>
        </is>
      </c>
      <c r="Z71" t="inlineStr">
        <is>
          <t>是</t>
        </is>
      </c>
    </row>
    <row r="72">
      <c r="A72" t="inlineStr">
        <is>
          <t>住宅小区</t>
        </is>
      </c>
      <c r="B72" t="inlineStr">
        <is>
          <t>嘉南美地</t>
        </is>
      </c>
      <c r="C72" t="inlineStr">
        <is>
          <t>南山区</t>
        </is>
      </c>
      <c r="D72" t="inlineStr">
        <is>
          <t>南头街道</t>
        </is>
      </c>
      <c r="E72" t="inlineStr">
        <is>
          <t>红花园社区</t>
        </is>
      </c>
      <c r="F72" t="inlineStr">
        <is>
          <t>南山区嘉南美地</t>
        </is>
      </c>
      <c r="G72" t="inlineStr">
        <is>
          <t>夜间巡查</t>
        </is>
      </c>
      <c r="H72" t="inlineStr">
        <is>
          <t>苏成龙</t>
        </is>
      </c>
      <c r="I72" t="inlineStr">
        <is>
          <t>18307612379</t>
        </is>
      </c>
      <c r="K72" t="inlineStr">
        <is>
          <t>31</t>
        </is>
      </c>
      <c r="L72" t="inlineStr">
        <is>
          <t>5</t>
        </is>
      </c>
      <c r="M72" t="inlineStr">
        <is>
          <t>1.无需填写2.无需填写3.无需填写4.无需填写5.无标识牌，未使用“深i回收”标识等</t>
        </is>
      </c>
      <c r="N72"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1.13: 收集容器外壁及内桶保持干净整洁，避免陈旧性脏污，收集容器内无积水。（4分） (-2)
1.17: 转运桶应在黄线划定区域内摆放整齐并保持全天关闭（作业状态除外），禁止罩外摆桶供居民投放。（6分） (-4)
2.1: 设置标识牌，外观使用“深i回收”标识，封闭围挡，地面硬底化。（2分） (-2)</t>
        </is>
      </c>
      <c r="O72">
        <f>HYPERLINK("https://yueling-buddy.github.io/xxr-inspection-album/weeks/2026-09-03/venue/v-%E5%8D%97%E5%B1%B1%E5%8C%BA%E5%98%89%E5%8D%97%E7%BE%8E%E5%9C%B0_%E5%98%89%E5%8D%97%E7%BE%8E%E5%9C%B0.html","查看证据(5项/8张)")</f>
        <v/>
      </c>
      <c r="P72" t="inlineStr">
        <is>
          <t>88.0</t>
        </is>
      </c>
      <c r="Q72" t="inlineStr">
        <is>
          <t>是</t>
        </is>
      </c>
      <c r="R72" t="inlineStr">
        <is>
          <t>处理进行中</t>
        </is>
      </c>
      <c r="S72" t="inlineStr">
        <is>
          <t>处理人处理</t>
        </is>
      </c>
      <c r="T72" t="inlineStr">
        <is>
          <t>2026-09-08</t>
        </is>
      </c>
      <c r="U72" t="inlineStr">
        <is>
          <t>2026-09-07</t>
        </is>
      </c>
      <c r="V72" t="inlineStr">
        <is>
          <t>2026-09-08 09:56:44.0</t>
        </is>
      </c>
      <c r="W72" t="inlineStr">
        <is>
          <t>13168.03</t>
        </is>
      </c>
      <c r="Y72" t="inlineStr">
        <is>
          <t>是</t>
        </is>
      </c>
      <c r="Z72" t="inlineStr">
        <is>
          <t>是</t>
        </is>
      </c>
    </row>
    <row r="73">
      <c r="A73" t="inlineStr">
        <is>
          <t>机关事业单位办公场所</t>
        </is>
      </c>
      <c r="B73" t="inlineStr">
        <is>
          <t>南约社区工作站</t>
        </is>
      </c>
      <c r="C73" t="inlineStr">
        <is>
          <t>龙岗区</t>
        </is>
      </c>
      <c r="D73" t="inlineStr">
        <is>
          <t>宝龙街道</t>
        </is>
      </c>
      <c r="E73" t="inlineStr">
        <is>
          <t>南约社区</t>
        </is>
      </c>
      <c r="F73" t="inlineStr">
        <is>
          <t>比宝二路83号</t>
        </is>
      </c>
      <c r="G73" t="inlineStr">
        <is>
          <t>日间巡查</t>
        </is>
      </c>
      <c r="H73" t="inlineStr">
        <is>
          <t>陈运初</t>
        </is>
      </c>
      <c r="I73" t="inlineStr">
        <is>
          <t>13714739365</t>
        </is>
      </c>
      <c r="K73" t="inlineStr">
        <is>
          <t>16</t>
        </is>
      </c>
      <c r="L73" t="inlineStr">
        <is>
          <t>1</t>
        </is>
      </c>
      <c r="N73" t="inlineStr">
        <is>
          <t>1.5: 至少设置一处有害垃圾收集容器。（5分） (5)</t>
        </is>
      </c>
      <c r="O73">
        <f>HYPERLINK("https://yueling-buddy.github.io/xxr-inspection-album/weeks/2026-09-03/venue/v-%E6%AF%94%E5%AE%9D%E4%BA%8C%E8%B7%AF83%E5%8F%B7_%E5%8D%97%E7%BA%A6%E7%A4%BE%E5%8C%BA%E5%B7%A5%E4%BD%9C%E7%AB%99.html","查看证据(1项/1张)")</f>
        <v/>
      </c>
      <c r="P73" t="inlineStr">
        <is>
          <t>92.0</t>
        </is>
      </c>
      <c r="Q73" t="inlineStr">
        <is>
          <t>是</t>
        </is>
      </c>
      <c r="R73" t="inlineStr">
        <is>
          <t>处理进行中</t>
        </is>
      </c>
      <c r="S73" t="inlineStr">
        <is>
          <t>处理人处理</t>
        </is>
      </c>
      <c r="T73" t="inlineStr">
        <is>
          <t>2026-09-08</t>
        </is>
      </c>
      <c r="U73" t="inlineStr">
        <is>
          <t>2026-09-07</t>
        </is>
      </c>
      <c r="V73" t="inlineStr">
        <is>
          <t>2026-09-08 09:56:53.0</t>
        </is>
      </c>
      <c r="W73" t="inlineStr">
        <is>
          <t>19848.18</t>
        </is>
      </c>
      <c r="Y73" t="inlineStr">
        <is>
          <t>否</t>
        </is>
      </c>
      <c r="Z73" t="inlineStr">
        <is>
          <t>否</t>
        </is>
      </c>
    </row>
    <row r="74">
      <c r="A74" t="inlineStr">
        <is>
          <t>住宅小区</t>
        </is>
      </c>
      <c r="B74" t="inlineStr">
        <is>
          <t>南山豪庭</t>
        </is>
      </c>
      <c r="C74" t="inlineStr">
        <is>
          <t>南山区</t>
        </is>
      </c>
      <c r="D74" t="inlineStr">
        <is>
          <t>南头街道</t>
        </is>
      </c>
      <c r="E74" t="inlineStr">
        <is>
          <t>红花园社区</t>
        </is>
      </c>
      <c r="F74" t="inlineStr">
        <is>
          <t>广东省深圳市南山区-红花路136号</t>
        </is>
      </c>
      <c r="G74" t="inlineStr">
        <is>
          <t>夜间巡查</t>
        </is>
      </c>
      <c r="H74" t="inlineStr">
        <is>
          <t>苏成龙</t>
        </is>
      </c>
      <c r="I74" t="inlineStr">
        <is>
          <t>18307612379</t>
        </is>
      </c>
      <c r="K74" t="inlineStr">
        <is>
          <t>29</t>
        </is>
      </c>
      <c r="L74" t="inlineStr">
        <is>
          <t>7</t>
        </is>
      </c>
      <c r="M74" t="inlineStr">
        <is>
          <t>1.可回收物框缺少分类标志2.无需填写3.无需填写4.未使用“深i回收”标识5.无需填写6.无需填写7.不整洁，未保持密闭等</t>
        </is>
      </c>
      <c r="N74" t="inlineStr">
        <is>
          <t>1.5: 分类标志完整、正确、清晰，各类垃圾收集容器外罩和内桶的颜色正确。（4分） (-2)
1.9: 各设施齐全完好，摆放整齐有序，使用功能正常，没有严重破损、陈旧问题，不得拆除投放口盖板支撑杆。（6分） (-2)
1.17: 转运桶应在黄线划定区域内摆放整齐并保持全天关闭（作业状态除外），禁止罩外摆桶供居民投放。（6分） (-2)
2.1: 设置标识牌，外观使用“深i回收”标识，封闭围挡，地面硬底化。（2分） (-2)
2.3: 各类垃圾及时清运。（2分） (-2)
2.4: 暂存点及其周围环境干净整洁，没有污水积聚或散落垃圾，禁止存放易燃易爆危险品，禁止违规接电、住人。（2分） (-2)
3.2: 暂存点及其周围环境干净整洁，各类桶整齐、密闭摆放，没有污水积聚或散落垃圾。（2分） (-2)</t>
        </is>
      </c>
      <c r="O74">
        <f>HYPERLINK("https://yueling-buddy.github.io/xxr-inspection-album/weeks/2026-09-03/venue/v-%E5%B9%BF%E4%B8%9C%E7%9C%81%E6%B7%B1%E5%9C%B3%E5%B8%82%E5%8D%97%E5%B1%B1%E5%8C%BA_%E7%BA%A2%E8%8A%B1%E8%B7%AF136%E5%8F%B7_%E5%8D%97%E5%B1%B1%E8%B1%AA%E5%BA%AD.html","查看证据(7项/10张)")</f>
        <v/>
      </c>
      <c r="P74" t="inlineStr">
        <is>
          <t>86.0</t>
        </is>
      </c>
      <c r="Q74" t="inlineStr">
        <is>
          <t>是</t>
        </is>
      </c>
      <c r="R74" t="inlineStr">
        <is>
          <t>处理进行中</t>
        </is>
      </c>
      <c r="S74" t="inlineStr">
        <is>
          <t>处理人处理</t>
        </is>
      </c>
      <c r="T74" t="inlineStr">
        <is>
          <t>2026-09-08</t>
        </is>
      </c>
      <c r="U74" t="inlineStr">
        <is>
          <t>2026-09-07</t>
        </is>
      </c>
      <c r="V74" t="inlineStr">
        <is>
          <t>2026-09-08 09:56:40.0</t>
        </is>
      </c>
      <c r="W74" t="inlineStr">
        <is>
          <t>1343.64</t>
        </is>
      </c>
      <c r="Y74" t="inlineStr">
        <is>
          <t>是</t>
        </is>
      </c>
      <c r="Z74" t="inlineStr">
        <is>
          <t>是</t>
        </is>
      </c>
    </row>
    <row r="75">
      <c r="A75" t="inlineStr">
        <is>
          <t>城中村</t>
        </is>
      </c>
      <c r="B75" t="inlineStr">
        <is>
          <t>南约社区水一村</t>
        </is>
      </c>
      <c r="C75" t="inlineStr">
        <is>
          <t>龙岗区</t>
        </is>
      </c>
      <c r="D75" t="inlineStr">
        <is>
          <t>宝龙街道</t>
        </is>
      </c>
      <c r="E75" t="inlineStr">
        <is>
          <t>南约社区</t>
        </is>
      </c>
      <c r="F75" t="inlineStr">
        <is>
          <t>深圳市龙岗区宝龙街道南约社区水一村11号</t>
        </is>
      </c>
      <c r="G75" t="inlineStr">
        <is>
          <t>日间巡查</t>
        </is>
      </c>
      <c r="H75" t="inlineStr">
        <is>
          <t>陈运初</t>
        </is>
      </c>
      <c r="I75" t="inlineStr">
        <is>
          <t>13714739365</t>
        </is>
      </c>
      <c r="K75" t="inlineStr">
        <is>
          <t>31</t>
        </is>
      </c>
      <c r="L75" t="inlineStr">
        <is>
          <t>1</t>
        </is>
      </c>
      <c r="N75" t="inlineStr">
        <is>
          <t>1.14: 各类垃圾及时清运，投放点及其周围环境干净整洁，没有垃圾满溢、暴露垃圾、杂物堆放、严重积水或明显异味等问题。（6分） (-2)</t>
        </is>
      </c>
      <c r="O75">
        <f>HYPERLINK("https://yueling-buddy.github.io/xxr-inspection-album/weeks/2026-09-03/venue/v-%E6%B7%B1%E5%9C%B3%E5%B8%82%E9%BE%99%E5%B2%97%E5%8C%BA%E5%AE%9D%E9%BE%99%E8%A1%97%E9%81%93%E5%8D%97%E7%BA%A6%E7%A4%BE%E5%8C%BA%E6%B0%B4%E4%B8%80%E6%9D%9111%E5%8F%B7_%E5%8D%97%E7%BA%A6%E7%A4%BE%E5%8C%BA%E6%B0%B4%E4%B8%80%E6%9D%91.html","查看证据(1项/1张)")</f>
        <v/>
      </c>
      <c r="P75" t="inlineStr">
        <is>
          <t>98.0</t>
        </is>
      </c>
      <c r="Q75" t="inlineStr">
        <is>
          <t>是</t>
        </is>
      </c>
      <c r="R75" t="inlineStr">
        <is>
          <t>处理进行中</t>
        </is>
      </c>
      <c r="S75" t="inlineStr">
        <is>
          <t>处理人处理</t>
        </is>
      </c>
      <c r="T75" t="inlineStr">
        <is>
          <t>2026-09-08</t>
        </is>
      </c>
      <c r="U75" t="inlineStr">
        <is>
          <t>2026-09-07</t>
        </is>
      </c>
      <c r="V75" t="inlineStr">
        <is>
          <t>2026-09-08 09:56:57.0</t>
        </is>
      </c>
      <c r="W75" t="inlineStr">
        <is>
          <t>19713.77</t>
        </is>
      </c>
      <c r="Y75" t="inlineStr">
        <is>
          <t>是</t>
        </is>
      </c>
      <c r="Z75" t="inlineStr">
        <is>
          <t>否</t>
        </is>
      </c>
    </row>
    <row r="76">
      <c r="A76" t="inlineStr">
        <is>
          <t>城中村</t>
        </is>
      </c>
      <c r="B76" t="inlineStr">
        <is>
          <t>南约社区水二村</t>
        </is>
      </c>
      <c r="C76" t="inlineStr">
        <is>
          <t>龙岗区</t>
        </is>
      </c>
      <c r="D76" t="inlineStr">
        <is>
          <t>宝龙街道</t>
        </is>
      </c>
      <c r="E76" t="inlineStr">
        <is>
          <t>南约社区</t>
        </is>
      </c>
      <c r="F76" t="inlineStr">
        <is>
          <t>深圳市龙岗区宝龙街道南约社区水二村13-4号</t>
        </is>
      </c>
      <c r="G76" t="inlineStr">
        <is>
          <t>日间巡查</t>
        </is>
      </c>
      <c r="H76" t="inlineStr">
        <is>
          <t>陈运初</t>
        </is>
      </c>
      <c r="I76" t="inlineStr">
        <is>
          <t>13714739365</t>
        </is>
      </c>
      <c r="K76" t="inlineStr">
        <is>
          <t>31</t>
        </is>
      </c>
      <c r="L76" t="inlineStr">
        <is>
          <t>1</t>
        </is>
      </c>
      <c r="N76" t="inlineStr">
        <is>
          <t>1.6: 设置洗手设施。（2分） (-1)</t>
        </is>
      </c>
      <c r="O76">
        <f>HYPERLINK("https://yueling-buddy.github.io/xxr-inspection-album/weeks/2026-09-03/venue/v-%E6%B7%B1%E5%9C%B3%E5%B8%82%E9%BE%99%E5%B2%97%E5%8C%BA%E5%AE%9D%E9%BE%99%E8%A1%97%E9%81%93%E5%8D%97%E7%BA%A6%E7%A4%BE%E5%8C%BA%E6%B0%B4%E4%BA%8C%E6%9D%9113_4%E5%8F%B7_%E5%8D%97%E7%BA%A6%E7%A4%BE%E5%8C%BA%E6%B0%B4%E4%BA%8C%E6%9D%91.html","查看证据(1项/1张)")</f>
        <v/>
      </c>
      <c r="P76" t="inlineStr">
        <is>
          <t>99.0</t>
        </is>
      </c>
      <c r="Q76" t="inlineStr">
        <is>
          <t>是</t>
        </is>
      </c>
      <c r="R76" t="inlineStr">
        <is>
          <t>处理进行中</t>
        </is>
      </c>
      <c r="S76" t="inlineStr">
        <is>
          <t>处理人处理</t>
        </is>
      </c>
      <c r="T76" t="inlineStr">
        <is>
          <t>2026-09-08</t>
        </is>
      </c>
      <c r="U76" t="inlineStr">
        <is>
          <t>2026-09-07</t>
        </is>
      </c>
      <c r="V76" t="inlineStr">
        <is>
          <t>2026-09-08 09:57:21.0</t>
        </is>
      </c>
      <c r="W76" t="inlineStr">
        <is>
          <t>20106.64</t>
        </is>
      </c>
      <c r="Y76" t="inlineStr">
        <is>
          <t>是</t>
        </is>
      </c>
      <c r="Z76" t="inlineStr">
        <is>
          <t>否</t>
        </is>
      </c>
    </row>
    <row r="77">
      <c r="A77" t="inlineStr">
        <is>
          <t>住宅小区</t>
        </is>
      </c>
      <c r="B77" t="inlineStr">
        <is>
          <t>一甲海边新村</t>
        </is>
      </c>
      <c r="C77" t="inlineStr">
        <is>
          <t>南山区</t>
        </is>
      </c>
      <c r="D77" t="inlineStr">
        <is>
          <t>南头街道</t>
        </is>
      </c>
      <c r="E77" t="inlineStr">
        <is>
          <t>红花园社区</t>
        </is>
      </c>
      <c r="F77" t="inlineStr">
        <is>
          <t>南山区一甲海边新村</t>
        </is>
      </c>
      <c r="G77" t="inlineStr">
        <is>
          <t>夜间巡查</t>
        </is>
      </c>
      <c r="H77" t="inlineStr">
        <is>
          <t>苏成龙</t>
        </is>
      </c>
      <c r="I77" t="inlineStr">
        <is>
          <t>18307612379</t>
        </is>
      </c>
      <c r="K77" t="inlineStr">
        <is>
          <t>32</t>
        </is>
      </c>
      <c r="L77" t="inlineStr">
        <is>
          <t>4</t>
        </is>
      </c>
      <c r="M77" t="inlineStr">
        <is>
          <t>1.无需填写2.无需填写3.无需填写4.无需填写</t>
        </is>
      </c>
      <c r="N77" t="inlineStr">
        <is>
          <t>1.6: 设置洗手设施。（2分） (-1)
1.9: 各设施齐全完好，摆放整齐有序，使用功能正常，没有严重破损、陈旧问题，不得拆除投放口盖板支撑杆。（6分） (-4)
1.17: 转运桶应在黄线划定区域内摆放整齐并保持全天关闭（作业状态除外），禁止罩外摆桶供居民投放。（6分） (-4)
1.18: 禁止在楼层、地面或车库等设置分散式垃圾收集容器。（4分） (-4)</t>
        </is>
      </c>
      <c r="O77">
        <f>HYPERLINK("https://yueling-buddy.github.io/xxr-inspection-album/weeks/2026-09-03/venue/v-%E5%8D%97%E5%B1%B1%E5%8C%BA%E4%B8%80%E7%94%B2%E6%B5%B7%E8%BE%B9%E6%96%B0%E6%9D%91_%E4%B8%80%E7%94%B2%E6%B5%B7%E8%BE%B9%E6%96%B0%E6%9D%91.html","查看证据(4项/10张)")</f>
        <v/>
      </c>
      <c r="P77" t="inlineStr">
        <is>
          <t>87.0</t>
        </is>
      </c>
      <c r="Q77" t="inlineStr">
        <is>
          <t>是</t>
        </is>
      </c>
      <c r="R77" t="inlineStr">
        <is>
          <t>处理进行中</t>
        </is>
      </c>
      <c r="S77" t="inlineStr">
        <is>
          <t>处理人处理</t>
        </is>
      </c>
      <c r="T77" t="inlineStr">
        <is>
          <t>2026-09-08</t>
        </is>
      </c>
      <c r="U77" t="inlineStr">
        <is>
          <t>2026-09-07</t>
        </is>
      </c>
      <c r="V77" t="inlineStr">
        <is>
          <t>2026-09-08 09:56:35.0</t>
        </is>
      </c>
      <c r="W77" t="inlineStr">
        <is>
          <t>23525.18</t>
        </is>
      </c>
      <c r="Y77" t="inlineStr">
        <is>
          <t>是</t>
        </is>
      </c>
      <c r="Z77" t="inlineStr">
        <is>
          <t>是</t>
        </is>
      </c>
    </row>
    <row r="78">
      <c r="A78" t="inlineStr">
        <is>
          <t>住宅小区</t>
        </is>
      </c>
      <c r="B78" t="inlineStr">
        <is>
          <t>恒运豪庭</t>
        </is>
      </c>
      <c r="C78" t="inlineStr">
        <is>
          <t>福田区</t>
        </is>
      </c>
      <c r="D78" t="inlineStr">
        <is>
          <t>福田街道</t>
        </is>
      </c>
      <c r="E78" t="inlineStr">
        <is>
          <t>岗厦社区</t>
        </is>
      </c>
      <c r="F78" t="inlineStr">
        <is>
          <t>福田区福华三路8号（岗厦地铁站D口步行290米）</t>
        </is>
      </c>
      <c r="G78" t="inlineStr">
        <is>
          <t>日间巡查</t>
        </is>
      </c>
      <c r="H78" t="inlineStr">
        <is>
          <t>陈亮</t>
        </is>
      </c>
      <c r="I78" t="inlineStr">
        <is>
          <t>17302662710</t>
        </is>
      </c>
      <c r="K78" t="inlineStr">
        <is>
          <t>32</t>
        </is>
      </c>
      <c r="L78" t="inlineStr">
        <is>
          <t>4</t>
        </is>
      </c>
      <c r="M78" t="inlineStr">
        <is>
          <t>1.未张贴深i回收标识</t>
        </is>
      </c>
      <c r="N78" t="inlineStr">
        <is>
          <t>1.5: 分类标志完整、正确、清晰，各类垃圾收集容器外罩和内桶的颜色正确。（4分） (-2)
1.8: 设置公示牌，清晰公示管理责任人和电话、专项垃圾暂存点和废旧织物回收箱位置、厨余垃圾投放时段、各类垃圾收运处理企业等信息。（4分） (-4)
1.17: 转运桶应在黄线划定区域内摆放整齐并保持全天关闭（作业状态除外），禁止罩外摆桶供居民投放。（6分） (-2)
2.1: 设置标识牌，外观使用“深i回收”标识，封闭围挡，地面硬底化。（2分） (-2)</t>
        </is>
      </c>
      <c r="O78">
        <f>HYPERLINK("https://yueling-buddy.github.io/xxr-inspection-album/weeks/2026-09-03/venue/v-%E7%A6%8F%E7%94%B0%E5%8C%BA%E7%A6%8F%E5%8D%8E%E4%B8%89%E8%B7%AF8%E5%8F%B7_%E5%B2%97%E5%8E%A6%E5%9C%B0%E9%93%81%E7%AB%99D%E5%8F%A3%E6%AD%A5%E8%A1%8C290%E7%B1%B3_%E6%81%92%E8%BF%90%E8%B1%AA%E5%BA%AD.html","查看证据(4项/6张)")</f>
        <v/>
      </c>
      <c r="P78" t="inlineStr">
        <is>
          <t>90.0</t>
        </is>
      </c>
      <c r="Q78" t="inlineStr">
        <is>
          <t>是</t>
        </is>
      </c>
      <c r="R78" t="inlineStr">
        <is>
          <t>处理进行中</t>
        </is>
      </c>
      <c r="S78" t="inlineStr">
        <is>
          <t>处理人处理</t>
        </is>
      </c>
      <c r="T78" t="inlineStr">
        <is>
          <t>2026-09-08</t>
        </is>
      </c>
      <c r="U78" t="inlineStr">
        <is>
          <t>2026-09-07</t>
        </is>
      </c>
      <c r="V78" t="inlineStr">
        <is>
          <t>2026-09-08 09:57:28.0</t>
        </is>
      </c>
      <c r="W78" t="inlineStr">
        <is>
          <t>8804.46</t>
        </is>
      </c>
      <c r="Y78" t="inlineStr">
        <is>
          <t>是</t>
        </is>
      </c>
      <c r="Z78" t="inlineStr">
        <is>
          <t>是</t>
        </is>
      </c>
    </row>
    <row r="79">
      <c r="A79" t="inlineStr">
        <is>
          <t>住宅小区</t>
        </is>
      </c>
      <c r="B79" t="inlineStr">
        <is>
          <t>金田新村</t>
        </is>
      </c>
      <c r="C79" t="inlineStr">
        <is>
          <t>福田区</t>
        </is>
      </c>
      <c r="D79" t="inlineStr">
        <is>
          <t>福田街道</t>
        </is>
      </c>
      <c r="E79" t="inlineStr">
        <is>
          <t>岗厦社区</t>
        </is>
      </c>
      <c r="F79" t="inlineStr">
        <is>
          <t>广东省深圳市福田区-福华3路(岗厦地铁站D口步行370米)</t>
        </is>
      </c>
      <c r="G79" t="inlineStr">
        <is>
          <t>日间巡查</t>
        </is>
      </c>
      <c r="H79" t="inlineStr">
        <is>
          <t>陈亮</t>
        </is>
      </c>
      <c r="I79" t="inlineStr">
        <is>
          <t>17302662710</t>
        </is>
      </c>
      <c r="K79" t="inlineStr">
        <is>
          <t>32</t>
        </is>
      </c>
      <c r="L79" t="inlineStr">
        <is>
          <t>4</t>
        </is>
      </c>
      <c r="M79" t="inlineStr">
        <is>
          <t>1.位置不合理，不便于使用</t>
        </is>
      </c>
      <c r="N79" t="inlineStr">
        <is>
          <t>1.6: 设置洗手设施。（2分） (-1)
1.14: 各类垃圾及时清运，投放点及其周围环境干净整洁，没有垃圾满溢、暴露垃圾、杂物堆放、严重积水或明显异味等问题。（6分） (-2)
1.16: 禁止通过捆绑、卡挡或上锁等方式封闭或遮挡投放口。（4分） (-2)
1.17: 转运桶应在黄线划定区域内摆放整齐并保持全天关闭（作业状态除外），禁止罩外摆桶供居民投放。（6分） (-2)</t>
        </is>
      </c>
      <c r="O79">
        <f>HYPERLINK("https://yueling-buddy.github.io/xxr-inspection-album/weeks/2026-09-03/venue/v-%E5%B9%BF%E4%B8%9C%E7%9C%81%E6%B7%B1%E5%9C%B3%E5%B8%82%E7%A6%8F%E7%94%B0%E5%8C%BA_%E7%A6%8F%E5%8D%8E3%E8%B7%AF_%E5%B2%97%E5%8E%A6%E5%9C%B0%E9%93%81%E7%AB%99D%E5%8F%A3%E6%AD%A5%E8%A1%8C370%E7%B1%B3_%E9%87%91%E7%94%B0%E6%96%B0%E6%9D%91.html","查看证据(4项/8张)")</f>
        <v/>
      </c>
      <c r="P79" t="inlineStr">
        <is>
          <t>93.0</t>
        </is>
      </c>
      <c r="Q79" t="inlineStr">
        <is>
          <t>是</t>
        </is>
      </c>
      <c r="R79" t="inlineStr">
        <is>
          <t>处理进行中</t>
        </is>
      </c>
      <c r="S79" t="inlineStr">
        <is>
          <t>处理人处理</t>
        </is>
      </c>
      <c r="T79" t="inlineStr">
        <is>
          <t>2026-09-08</t>
        </is>
      </c>
      <c r="U79" t="inlineStr">
        <is>
          <t>2026-09-07</t>
        </is>
      </c>
      <c r="V79" t="inlineStr">
        <is>
          <t>2026-09-08 09:57:31.0</t>
        </is>
      </c>
      <c r="W79" t="inlineStr">
        <is>
          <t>13250.24</t>
        </is>
      </c>
      <c r="Y79" t="inlineStr">
        <is>
          <t>是</t>
        </is>
      </c>
      <c r="Z79" t="inlineStr">
        <is>
          <t>是</t>
        </is>
      </c>
    </row>
    <row r="80">
      <c r="A80" t="inlineStr">
        <is>
          <t>住宅小区</t>
        </is>
      </c>
      <c r="B80" t="inlineStr">
        <is>
          <t>岗厦城</t>
        </is>
      </c>
      <c r="C80" t="inlineStr">
        <is>
          <t>福田区</t>
        </is>
      </c>
      <c r="D80" t="inlineStr">
        <is>
          <t>福田街道</t>
        </is>
      </c>
      <c r="E80" t="inlineStr">
        <is>
          <t>岗厦社区</t>
        </is>
      </c>
      <c r="F80" t="inlineStr">
        <is>
          <t>深圳市福田区福田街道彩田路和福华路交汇处(彩福大厦附近)</t>
        </is>
      </c>
      <c r="G80" t="inlineStr">
        <is>
          <t>日间巡查</t>
        </is>
      </c>
      <c r="H80" t="inlineStr">
        <is>
          <t>陈亮</t>
        </is>
      </c>
      <c r="I80" t="inlineStr">
        <is>
          <t>17302662710</t>
        </is>
      </c>
      <c r="K80" t="inlineStr">
        <is>
          <t>30</t>
        </is>
      </c>
      <c r="L80" t="inlineStr">
        <is>
          <t>6</t>
        </is>
      </c>
      <c r="M80" t="inlineStr">
        <is>
          <t>1.未张贴深i回收标识</t>
        </is>
      </c>
      <c r="N80" t="inlineStr">
        <is>
          <t>1.5: 分类标志完整、正确、清晰，各类垃圾收集容器外罩和内桶的颜色正确。（4分） (-2)
1.9: 各设施齐全完好，摆放整齐有序，使用功能正常，没有严重破损、陈旧问题，不得拆除投放口盖板支撑杆。（6分） (-4)
1.16: 禁止通过捆绑、卡挡或上锁等方式封闭或遮挡投放口。（4分） (-4)
1.17: 转运桶应在黄线划定区域内摆放整齐并保持全天关闭（作业状态除外），禁止罩外摆桶供居民投放。（6分） (-2)
2.1: 设置标识牌，外观使用“深i回收”标识，封闭围挡，地面硬底化。（2分） (-2)
2.4: 暂存点及其周围环境干净整洁，没有污水积聚或散落垃圾，禁止存放易燃易爆危险品，禁止违规接电、住人。（2分） (-2)</t>
        </is>
      </c>
      <c r="O80">
        <f>HYPERLINK("https://yueling-buddy.github.io/xxr-inspection-album/weeks/2026-09-03/venue/v-%E6%B7%B1%E5%9C%B3%E5%B8%82%E7%A6%8F%E7%94%B0%E5%8C%BA%E7%A6%8F%E7%94%B0%E8%A1%97%E9%81%93%E5%BD%A9%E7%94%B0%E8%B7%AF%E5%92%8C%E7%A6%8F%E5%8D%8E%E8%B7%AF%E4%BA%A4%E6%B1%87%E5%A4%84_%E5%BD%A9%E7%A6%8F%E5%A4%A7%E5%8E%A6%E9%99%84%E8%BF%91_%E5%B2%97%E5%8E%A6%E5%9F%8E.html","查看证据(6项/15张)")</f>
        <v/>
      </c>
      <c r="P80" t="inlineStr">
        <is>
          <t>84.0</t>
        </is>
      </c>
      <c r="Q80" t="inlineStr">
        <is>
          <t>是</t>
        </is>
      </c>
      <c r="R80" t="inlineStr">
        <is>
          <t>处理进行中</t>
        </is>
      </c>
      <c r="S80" t="inlineStr">
        <is>
          <t>处理人处理</t>
        </is>
      </c>
      <c r="T80" t="inlineStr">
        <is>
          <t>2026-09-08</t>
        </is>
      </c>
      <c r="U80" t="inlineStr">
        <is>
          <t>2026-09-07</t>
        </is>
      </c>
      <c r="V80" t="inlineStr">
        <is>
          <t>2026-09-08 09:57:41.0</t>
        </is>
      </c>
      <c r="W80" t="inlineStr">
        <is>
          <t>15184.33</t>
        </is>
      </c>
      <c r="Y80" t="inlineStr">
        <is>
          <t>是</t>
        </is>
      </c>
      <c r="Z80" t="inlineStr">
        <is>
          <t>是</t>
        </is>
      </c>
    </row>
    <row r="81">
      <c r="A81" t="inlineStr">
        <is>
          <t>住宅小区</t>
        </is>
      </c>
      <c r="B81" t="inlineStr">
        <is>
          <t>星河世纪大厦</t>
        </is>
      </c>
      <c r="C81" t="inlineStr">
        <is>
          <t>福田区</t>
        </is>
      </c>
      <c r="D81" t="inlineStr">
        <is>
          <t>福田街道</t>
        </is>
      </c>
      <c r="E81" t="inlineStr">
        <is>
          <t>岗厦社区</t>
        </is>
      </c>
      <c r="F81" t="inlineStr">
        <is>
          <t>福田区福田街道岗厦社区星河世纪大厦</t>
        </is>
      </c>
      <c r="G81" t="inlineStr">
        <is>
          <t>日间巡查</t>
        </is>
      </c>
      <c r="H81" t="inlineStr">
        <is>
          <t>陈亮</t>
        </is>
      </c>
      <c r="I81" t="inlineStr">
        <is>
          <t>17302662710</t>
        </is>
      </c>
      <c r="K81" t="inlineStr">
        <is>
          <t>33</t>
        </is>
      </c>
      <c r="L81" t="inlineStr">
        <is>
          <t>3</t>
        </is>
      </c>
      <c r="N81" t="inlineStr">
        <is>
          <t>1.16: 禁止通过捆绑、卡挡或上锁等方式封闭或遮挡投放口。（4分） (-2)
2.3: 各类垃圾及时清运。（2分） (-2)
2.4: 暂存点及其周围环境干净整洁，没有污水积聚或散落垃圾，禁止存放易燃易爆危险品，禁止违规接电、住人。（2分） (-2)</t>
        </is>
      </c>
      <c r="O81">
        <f>HYPERLINK("https://yueling-buddy.github.io/xxr-inspection-album/weeks/2026-09-03/venue/v-%E7%A6%8F%E7%94%B0%E5%8C%BA%E7%A6%8F%E7%94%B0%E8%A1%97%E9%81%93%E5%B2%97%E5%8E%A6%E7%A4%BE%E5%8C%BA%E6%98%9F%E6%B2%B3%E4%B8%96%E7%BA%AA%E5%A4%A7%E5%8E%A6_%E6%98%9F%E6%B2%B3%E4%B8%96%E7%BA%AA%E5%A4%A7%E5%8E%A6.html","查看证据(3项/5张)")</f>
        <v/>
      </c>
      <c r="P81" t="inlineStr">
        <is>
          <t>94.0</t>
        </is>
      </c>
      <c r="Q81" t="inlineStr">
        <is>
          <t>是</t>
        </is>
      </c>
      <c r="R81" t="inlineStr">
        <is>
          <t>处理进行中</t>
        </is>
      </c>
      <c r="S81" t="inlineStr">
        <is>
          <t>处理人处理</t>
        </is>
      </c>
      <c r="T81" t="inlineStr">
        <is>
          <t>2026-09-07</t>
        </is>
      </c>
      <c r="U81" t="inlineStr">
        <is>
          <t>2026-09-07</t>
        </is>
      </c>
      <c r="V81" t="inlineStr">
        <is>
          <t>2026-09-07 17:46:32.0</t>
        </is>
      </c>
      <c r="W81" t="inlineStr">
        <is>
          <t>14094.91</t>
        </is>
      </c>
      <c r="Y81" t="inlineStr">
        <is>
          <t>是</t>
        </is>
      </c>
      <c r="Z81" t="inlineStr">
        <is>
          <t>是</t>
        </is>
      </c>
    </row>
    <row r="82">
      <c r="A82" t="inlineStr">
        <is>
          <t>住宅小区</t>
        </is>
      </c>
      <c r="B82" t="inlineStr">
        <is>
          <t>深圳中心天元公寓</t>
        </is>
      </c>
      <c r="C82" t="inlineStr">
        <is>
          <t>福田区</t>
        </is>
      </c>
      <c r="D82" t="inlineStr">
        <is>
          <t>福田街道</t>
        </is>
      </c>
      <c r="E82" t="inlineStr">
        <is>
          <t>岗厦社区</t>
        </is>
      </c>
      <c r="F82" t="inlineStr">
        <is>
          <t>福田区福田街道深南大道与金田路交汇处</t>
        </is>
      </c>
      <c r="G82" t="inlineStr">
        <is>
          <t>日间巡查</t>
        </is>
      </c>
      <c r="H82" t="inlineStr">
        <is>
          <t>陈亮</t>
        </is>
      </c>
      <c r="I82" t="inlineStr">
        <is>
          <t>17302662710</t>
        </is>
      </c>
      <c r="K82" t="inlineStr">
        <is>
          <t>30</t>
        </is>
      </c>
      <c r="L82" t="inlineStr">
        <is>
          <t>6</t>
        </is>
      </c>
      <c r="N82" t="inlineStr">
        <is>
          <t>1.5: 分类标志完整、正确、清晰，各类垃圾收集容器外罩和内桶的颜色正确。（4分） (-2)
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1.16: 禁止通过捆绑、卡挡或上锁等方式封闭或遮挡投放口。（4分） (-2)
1.17: 转运桶应在黄线划定区域内摆放整齐并保持全天关闭（作业状态除外），禁止罩外摆桶供居民投放。（6分） (-4)
2.1: 设置标识牌，外观使用“深i回收”标识，封闭围挡，地面硬底化。（2分） (-2)</t>
        </is>
      </c>
      <c r="O82">
        <f>HYPERLINK("https://yueling-buddy.github.io/xxr-inspection-album/weeks/2026-09-03/venue/v-%E7%A6%8F%E7%94%B0%E5%8C%BA%E7%A6%8F%E7%94%B0%E8%A1%97%E9%81%93%E6%B7%B1%E5%8D%97%E5%A4%A7%E9%81%93%E4%B8%8E%E9%87%91%E7%94%B0%E8%B7%AF%E4%BA%A4%E6%B1%87%E5%A4%84_%E6%B7%B1%E5%9C%B3%E4%B8%AD%E5%BF%83%E5%A4%A9%E5%85%83%E5%85%AC%E5%AF%93.html","查看证据(6项/8张)")</f>
        <v/>
      </c>
      <c r="P82" t="inlineStr">
        <is>
          <t>86.0</t>
        </is>
      </c>
      <c r="Q82" t="inlineStr">
        <is>
          <t>是</t>
        </is>
      </c>
      <c r="R82" t="inlineStr">
        <is>
          <t>处理进行中</t>
        </is>
      </c>
      <c r="S82" t="inlineStr">
        <is>
          <t>处理人处理</t>
        </is>
      </c>
      <c r="T82" t="inlineStr">
        <is>
          <t>2026-09-07</t>
        </is>
      </c>
      <c r="U82" t="inlineStr">
        <is>
          <t>2026-09-07</t>
        </is>
      </c>
      <c r="V82" t="inlineStr">
        <is>
          <t>2026-09-07 17:29:41.0</t>
        </is>
      </c>
      <c r="W82" t="inlineStr">
        <is>
          <t>13333.26</t>
        </is>
      </c>
      <c r="Y82" t="inlineStr">
        <is>
          <t>是</t>
        </is>
      </c>
      <c r="Z82" t="inlineStr">
        <is>
          <t>是</t>
        </is>
      </c>
    </row>
    <row r="83">
      <c r="A83" t="inlineStr">
        <is>
          <t>住宅小区</t>
        </is>
      </c>
      <c r="B83" t="inlineStr">
        <is>
          <t>福岗园大厦</t>
        </is>
      </c>
      <c r="C83" t="inlineStr">
        <is>
          <t>福田区</t>
        </is>
      </c>
      <c r="D83" t="inlineStr">
        <is>
          <t>福田街道</t>
        </is>
      </c>
      <c r="E83" t="inlineStr">
        <is>
          <t>岗厦社区</t>
        </is>
      </c>
      <c r="F83" t="inlineStr">
        <is>
          <t>广东省深圳市福田区-金田路3090号(会展中心地铁站A1口步行340米)</t>
        </is>
      </c>
      <c r="G83" t="inlineStr">
        <is>
          <t>日间巡查</t>
        </is>
      </c>
      <c r="H83" t="inlineStr">
        <is>
          <t>陈亮</t>
        </is>
      </c>
      <c r="I83" t="inlineStr">
        <is>
          <t>17302662710</t>
        </is>
      </c>
      <c r="K83" t="inlineStr">
        <is>
          <t>30</t>
        </is>
      </c>
      <c r="L83" t="inlineStr">
        <is>
          <t>6</t>
        </is>
      </c>
      <c r="M83" t="inlineStr">
        <is>
          <t>1.未张贴深i回收标识</t>
        </is>
      </c>
      <c r="N83" t="inlineStr">
        <is>
          <t>1.4: 至少设置一处厨余垃圾误时投放点，张贴误时投放点标识，并保持24小时开放。（2分） (-2)
1.5: 分类标志完整、正确、清晰，各类垃圾收集容器外罩和内桶的颜色正确。（4分） (-2)
1.13: 收集容器外壁及内桶保持干净整洁，避免陈旧性脏污，收集容器内无积水。（4分） (-2)
1.17: 转运桶应在黄线划定区域内摆放整齐并保持全天关闭（作业状态除外），禁止罩外摆桶供居民投放。（6分） (-2)
2.1: 设置标识牌，外观使用“深i回收”标识，封闭围挡，地面硬底化。（2分） (-2)
2.4: 暂存点及其周围环境干净整洁，没有污水积聚或散落垃圾，禁止存放易燃易爆危险品，禁止违规接电、住人。（2分） (-2)</t>
        </is>
      </c>
      <c r="O83">
        <f>HYPERLINK("https://yueling-buddy.github.io/xxr-inspection-album/weeks/2026-09-03/venue/v-%E5%B9%BF%E4%B8%9C%E7%9C%81%E6%B7%B1%E5%9C%B3%E5%B8%82%E7%A6%8F%E7%94%B0%E5%8C%BA_%E9%87%91%E7%94%B0%E8%B7%AF3090%E5%8F%B7_%E4%BC%9A%E5%B1%95%E4%B8%AD%E5%BF%83%E5%9C%B0%E9%93%81%E7%AB%99A1%E5%8F%A3%E6%AD%A5%E8%A1%8C340%E7%B1%B3_%E7%A6%8F%E5%B2%97%E5%9B%AD%E5%A4%A7%E5%8E%A6.html","查看证据(6项/9张)")</f>
        <v/>
      </c>
      <c r="P83" t="inlineStr">
        <is>
          <t>88.0</t>
        </is>
      </c>
      <c r="Q83" t="inlineStr">
        <is>
          <t>是</t>
        </is>
      </c>
      <c r="R83" t="inlineStr">
        <is>
          <t>处理进行中</t>
        </is>
      </c>
      <c r="S83" t="inlineStr">
        <is>
          <t>处理人处理</t>
        </is>
      </c>
      <c r="T83" t="inlineStr">
        <is>
          <t>2026-09-07</t>
        </is>
      </c>
      <c r="U83" t="inlineStr">
        <is>
          <t>2026-09-07</t>
        </is>
      </c>
      <c r="V83" t="inlineStr">
        <is>
          <t>2026-09-07 17:30:22.0</t>
        </is>
      </c>
      <c r="W83" t="inlineStr">
        <is>
          <t>13773.31</t>
        </is>
      </c>
      <c r="Y83" t="inlineStr">
        <is>
          <t>是</t>
        </is>
      </c>
      <c r="Z83" t="inlineStr">
        <is>
          <t>是</t>
        </is>
      </c>
    </row>
    <row r="84">
      <c r="A84" t="inlineStr">
        <is>
          <t>交通场站</t>
        </is>
      </c>
      <c r="B84" t="inlineStr">
        <is>
          <t>岗厦地铁站</t>
        </is>
      </c>
      <c r="C84" t="inlineStr">
        <is>
          <t>福田区</t>
        </is>
      </c>
      <c r="D84" t="inlineStr">
        <is>
          <t>福田街道</t>
        </is>
      </c>
      <c r="E84" t="inlineStr">
        <is>
          <t>岗厦社区</t>
        </is>
      </c>
      <c r="F84" t="inlineStr">
        <is>
          <t>深圳市福田区岗厦地铁站</t>
        </is>
      </c>
      <c r="G84" t="inlineStr">
        <is>
          <t>日间巡查</t>
        </is>
      </c>
      <c r="H84" t="inlineStr">
        <is>
          <t>陈亮</t>
        </is>
      </c>
      <c r="I84" t="inlineStr">
        <is>
          <t>17302662710</t>
        </is>
      </c>
      <c r="K84" t="inlineStr">
        <is>
          <t>13</t>
        </is>
      </c>
      <c r="L84" t="inlineStr">
        <is>
          <t>1</t>
        </is>
      </c>
      <c r="N84" t="inlineStr">
        <is>
          <t>3.1: 公共区域张贴或摆放垃圾分类宣传海报或指引等。 (-5)</t>
        </is>
      </c>
      <c r="O84">
        <f>HYPERLINK("https://yueling-buddy.github.io/xxr-inspection-album/weeks/2026-09-03/venue/v-%E6%B7%B1%E5%9C%B3%E5%B8%82%E7%A6%8F%E7%94%B0%E5%8C%BA%E5%B2%97%E5%8E%A6%E5%9C%B0%E9%93%81%E7%AB%99_%E5%B2%97%E5%8E%A6%E5%9C%B0%E9%93%81%E7%AB%99.html","查看证据(1项/1张)")</f>
        <v/>
      </c>
      <c r="P84" t="inlineStr">
        <is>
          <t>95.0</t>
        </is>
      </c>
      <c r="Q84" t="inlineStr">
        <is>
          <t>是</t>
        </is>
      </c>
      <c r="R84" t="inlineStr">
        <is>
          <t>处理进行中</t>
        </is>
      </c>
      <c r="S84" t="inlineStr">
        <is>
          <t>处理人处理</t>
        </is>
      </c>
      <c r="T84" t="inlineStr">
        <is>
          <t>2026-09-07</t>
        </is>
      </c>
      <c r="U84" t="inlineStr">
        <is>
          <t>2026-09-07</t>
        </is>
      </c>
      <c r="V84" t="inlineStr">
        <is>
          <t>2026-09-07 17:30:30.0</t>
        </is>
      </c>
      <c r="W84" t="inlineStr">
        <is>
          <t>13896.9</t>
        </is>
      </c>
      <c r="Y84" t="inlineStr">
        <is>
          <t>否</t>
        </is>
      </c>
      <c r="Z84" t="inlineStr">
        <is>
          <t>否</t>
        </is>
      </c>
    </row>
    <row r="85">
      <c r="A85" t="inlineStr">
        <is>
          <t>住宅小区</t>
        </is>
      </c>
      <c r="B85" t="inlineStr">
        <is>
          <t>嘉麟豪庭</t>
        </is>
      </c>
      <c r="C85" t="inlineStr">
        <is>
          <t>福田区</t>
        </is>
      </c>
      <c r="D85" t="inlineStr">
        <is>
          <t>福田街道</t>
        </is>
      </c>
      <c r="E85" t="inlineStr">
        <is>
          <t>岗厦社区</t>
        </is>
      </c>
      <c r="F85" t="inlineStr">
        <is>
          <t>深圳市福田区深南大道2001号</t>
        </is>
      </c>
      <c r="G85" t="inlineStr">
        <is>
          <t>日间巡查</t>
        </is>
      </c>
      <c r="H85" t="inlineStr">
        <is>
          <t>陈亮</t>
        </is>
      </c>
      <c r="I85" t="inlineStr">
        <is>
          <t>17302662710</t>
        </is>
      </c>
      <c r="K85" t="inlineStr">
        <is>
          <t>28</t>
        </is>
      </c>
      <c r="L85" t="inlineStr">
        <is>
          <t>8</t>
        </is>
      </c>
      <c r="M85" t="inlineStr">
        <is>
          <t>1.未张贴深i回收标识</t>
        </is>
      </c>
      <c r="N85" t="inlineStr">
        <is>
          <t>1.4: 至少设置一处厨余垃圾误时投放点，张贴误时投放点标识，并保持24小时开放。（2分） (-2)
1.5: 分类标志完整、正确、清晰，各类垃圾收集容器外罩和内桶的颜色正确。（4分） (-2)
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
2.1: 设置标识牌，外观使用“深i回收”标识，封闭围挡，地面硬底化。（2分） (-2)
2.2: 设置消防设施，使用功能正常，取用方便。（2分） (-2)
2.4: 暂存点及其周围环境干净整洁，没有污水积聚或散落垃圾，禁止存放易燃易爆危险品，禁止违规接电、住人。（2分） (-2)
3.2: 暂存点及其周围环境干净整洁，各类桶整齐、密闭摆放，没有污水积聚或散落垃圾。（2分） (-2)</t>
        </is>
      </c>
      <c r="O85">
        <f>HYPERLINK("https://yueling-buddy.github.io/xxr-inspection-album/weeks/2026-09-03/venue/v-%E6%B7%B1%E5%9C%B3%E5%B8%82%E7%A6%8F%E7%94%B0%E5%8C%BA%E6%B7%B1%E5%8D%97%E5%A4%A7%E9%81%932001%E5%8F%B7_%E5%98%89%E9%BA%9F%E8%B1%AA%E5%BA%AD.html","查看证据(8项/10张)")</f>
        <v/>
      </c>
      <c r="P85" t="inlineStr">
        <is>
          <t>84.0</t>
        </is>
      </c>
      <c r="Q85" t="inlineStr">
        <is>
          <t>是</t>
        </is>
      </c>
      <c r="R85" t="inlineStr">
        <is>
          <t>处理进行中</t>
        </is>
      </c>
      <c r="S85" t="inlineStr">
        <is>
          <t>处理人处理</t>
        </is>
      </c>
      <c r="T85" t="inlineStr">
        <is>
          <t>2026-09-07</t>
        </is>
      </c>
      <c r="U85" t="inlineStr">
        <is>
          <t>2026-09-07</t>
        </is>
      </c>
      <c r="V85" t="inlineStr">
        <is>
          <t>2026-09-07 17:30:37.0</t>
        </is>
      </c>
      <c r="W85" t="inlineStr">
        <is>
          <t>14035.63</t>
        </is>
      </c>
      <c r="Y85" t="inlineStr">
        <is>
          <t>是</t>
        </is>
      </c>
      <c r="Z85" t="inlineStr">
        <is>
          <t>是</t>
        </is>
      </c>
    </row>
    <row r="86">
      <c r="A86" t="inlineStr">
        <is>
          <t>住宅小区</t>
        </is>
      </c>
      <c r="B86" t="inlineStr">
        <is>
          <t>深南花园</t>
        </is>
      </c>
      <c r="C86" t="inlineStr">
        <is>
          <t>南山区</t>
        </is>
      </c>
      <c r="D86" t="inlineStr">
        <is>
          <t>粤海街道</t>
        </is>
      </c>
      <c r="E86" t="inlineStr">
        <is>
          <t>科技园社区</t>
        </is>
      </c>
      <c r="F86" t="inlineStr">
        <is>
          <t>广东省深圳市南山区粤海街道深南花园</t>
        </is>
      </c>
      <c r="G86" t="inlineStr">
        <is>
          <t>日间巡查</t>
        </is>
      </c>
      <c r="H86" t="inlineStr">
        <is>
          <t>苏成龙</t>
        </is>
      </c>
      <c r="I86" t="inlineStr">
        <is>
          <t>18307612379</t>
        </is>
      </c>
      <c r="K86" t="inlineStr">
        <is>
          <t>33</t>
        </is>
      </c>
      <c r="L86" t="inlineStr">
        <is>
          <t>3</t>
        </is>
      </c>
      <c r="M86" t="inlineStr">
        <is>
          <t>1.支撑杆缺失2.废旧家具未存放在指定位置3.不整洁，未保持密闭</t>
        </is>
      </c>
      <c r="N86" t="inlineStr">
        <is>
          <t>1.9: 各设施齐全完好，摆放整齐有序，使用功能正常，没有严重破损、陈旧问题，不得拆除投放口盖板支撑杆。（6分） (-4)
2.4: 暂存点及其周围环境干净整洁，没有污水积聚或散落垃圾，禁止存放易燃易爆危险品，禁止违规接电、住人。（2分） (-2)
3.2: 暂存点及其周围环境干净整洁，各类桶整齐、密闭摆放，没有污水积聚或散落垃圾。（2分） (-2)</t>
        </is>
      </c>
      <c r="O86">
        <f>HYPERLINK("https://yueling-buddy.github.io/xxr-inspection-album/weeks/2026-09-03/venue/v-%E5%B9%BF%E4%B8%9C%E7%9C%81%E6%B7%B1%E5%9C%B3%E5%B8%82%E5%8D%97%E5%B1%B1%E5%8C%BA%E7%B2%A4%E6%B5%B7%E8%A1%97%E9%81%93%E6%B7%B1%E5%8D%97%E8%8A%B1%E5%9B%AD_%E6%B7%B1%E5%8D%97%E8%8A%B1%E5%9B%AD.html","查看证据(3项/7张)")</f>
        <v/>
      </c>
      <c r="P86" t="inlineStr">
        <is>
          <t>92.0</t>
        </is>
      </c>
      <c r="Q86" t="inlineStr">
        <is>
          <t>是</t>
        </is>
      </c>
      <c r="R86" t="inlineStr">
        <is>
          <t>处理进行中</t>
        </is>
      </c>
      <c r="S86" t="inlineStr">
        <is>
          <t>处理人处理</t>
        </is>
      </c>
      <c r="T86" t="inlineStr">
        <is>
          <t>2026-09-07</t>
        </is>
      </c>
      <c r="U86" t="inlineStr">
        <is>
          <t>2026-09-07</t>
        </is>
      </c>
      <c r="V86" t="inlineStr">
        <is>
          <t>2026-09-07 17:30:34.0</t>
        </is>
      </c>
      <c r="W86" t="inlineStr">
        <is>
          <t>3501.04</t>
        </is>
      </c>
      <c r="Y86" t="inlineStr">
        <is>
          <t>是</t>
        </is>
      </c>
      <c r="Z86" t="inlineStr">
        <is>
          <t>否</t>
        </is>
      </c>
    </row>
    <row r="87">
      <c r="A87" t="inlineStr">
        <is>
          <t>住宅小区</t>
        </is>
      </c>
      <c r="B87" t="inlineStr">
        <is>
          <t>汇景豪苑</t>
        </is>
      </c>
      <c r="C87" t="inlineStr">
        <is>
          <t>南山区</t>
        </is>
      </c>
      <c r="D87" t="inlineStr">
        <is>
          <t>粤海街道</t>
        </is>
      </c>
      <c r="E87" t="inlineStr">
        <is>
          <t>科技园社区</t>
        </is>
      </c>
      <c r="F87" t="inlineStr">
        <is>
          <t>广东省深圳市南山区粤海街道汇景豪苑</t>
        </is>
      </c>
      <c r="G87" t="inlineStr">
        <is>
          <t>日间巡查</t>
        </is>
      </c>
      <c r="H87" t="inlineStr">
        <is>
          <t>苏成龙</t>
        </is>
      </c>
      <c r="I87" t="inlineStr">
        <is>
          <t>18307612379</t>
        </is>
      </c>
      <c r="K87" t="inlineStr">
        <is>
          <t>31</t>
        </is>
      </c>
      <c r="L87" t="inlineStr">
        <is>
          <t>5</t>
        </is>
      </c>
      <c r="M87" t="inlineStr">
        <is>
          <t>1.无需填写2.无需填写3.无需填写4.无需填写5.未通电，不能正常投放使用</t>
        </is>
      </c>
      <c r="N87" t="inlineStr">
        <is>
          <t>1.6: 设置洗手设施。（2分） (-1)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4.3: 设备齐全完好，摆放整齐有序，功能正常，外观没有严重破损，没有用电隐患。（2分） (-2)</t>
        </is>
      </c>
      <c r="O87">
        <f>HYPERLINK("https://yueling-buddy.github.io/xxr-inspection-album/weeks/2026-09-03/venue/v-%E5%B9%BF%E4%B8%9C%E7%9C%81%E6%B7%B1%E5%9C%B3%E5%B8%82%E5%8D%97%E5%B1%B1%E5%8C%BA%E7%B2%A4%E6%B5%B7%E8%A1%97%E9%81%93%E6%B1%87%E6%99%AF%E8%B1%AA%E8%8B%91_%E6%B1%87%E6%99%AF%E8%B1%AA%E8%8B%91.html","查看证据(5项/7张)")</f>
        <v/>
      </c>
      <c r="P87" t="inlineStr">
        <is>
          <t>91.0</t>
        </is>
      </c>
      <c r="Q87" t="inlineStr">
        <is>
          <t>是</t>
        </is>
      </c>
      <c r="R87" t="inlineStr">
        <is>
          <t>处理进行中</t>
        </is>
      </c>
      <c r="S87" t="inlineStr">
        <is>
          <t>处理人处理</t>
        </is>
      </c>
      <c r="T87" t="inlineStr">
        <is>
          <t>2026-09-07</t>
        </is>
      </c>
      <c r="U87" t="inlineStr">
        <is>
          <t>2026-09-07</t>
        </is>
      </c>
      <c r="V87" t="inlineStr">
        <is>
          <t>2026-09-07 17:30:26.0</t>
        </is>
      </c>
      <c r="W87" t="inlineStr">
        <is>
          <t>3374.48</t>
        </is>
      </c>
      <c r="Y87" t="inlineStr">
        <is>
          <t>是</t>
        </is>
      </c>
      <c r="Z87" t="inlineStr">
        <is>
          <t>否</t>
        </is>
      </c>
    </row>
    <row r="88">
      <c r="A88" t="inlineStr">
        <is>
          <t>住宅小区</t>
        </is>
      </c>
      <c r="B88" t="inlineStr">
        <is>
          <t>科苑西小区</t>
        </is>
      </c>
      <c r="C88" t="inlineStr">
        <is>
          <t>南山区</t>
        </is>
      </c>
      <c r="D88" t="inlineStr">
        <is>
          <t>粤海街道</t>
        </is>
      </c>
      <c r="E88" t="inlineStr">
        <is>
          <t>科技园社区</t>
        </is>
      </c>
      <c r="F88" t="inlineStr">
        <is>
          <t>广东省深圳市南山区粤海街道科兴路6号科苑西住宅小区</t>
        </is>
      </c>
      <c r="G88" t="inlineStr">
        <is>
          <t>日间巡查</t>
        </is>
      </c>
      <c r="H88" t="inlineStr">
        <is>
          <t>苏成龙</t>
        </is>
      </c>
      <c r="I88" t="inlineStr">
        <is>
          <t>18307612379</t>
        </is>
      </c>
      <c r="K88" t="inlineStr">
        <is>
          <t>32</t>
        </is>
      </c>
      <c r="L88" t="inlineStr">
        <is>
          <t>4</t>
        </is>
      </c>
      <c r="M88" t="inlineStr">
        <is>
          <t>1.无需填写2.有害垃圾收集容器内的垃圾杂物应及时清理，清洁工具等不应占用3.无需填写4.无需填写</t>
        </is>
      </c>
      <c r="N88" t="inlineStr">
        <is>
          <t>1.13: 收集容器外壁及内桶保持干净整洁，避免陈旧性脏污，收集容器内无积水。（4分） (-2)
1.14: 各类垃圾及时清运，投放点及其周围环境干净整洁，没有垃圾满溢、暴露垃圾、杂物堆放、严重积水或明显异味等问题。（6分） (-2)
2.3: 各类垃圾及时清运。（2分） (-2)
2.4: 暂存点及其周围环境干净整洁，没有污水积聚或散落垃圾，禁止存放易燃易爆危险品，禁止违规接电、住人。（2分） (-2)</t>
        </is>
      </c>
      <c r="O88">
        <f>HYPERLINK("https://yueling-buddy.github.io/xxr-inspection-album/weeks/2026-09-03/venue/v-%E5%B9%BF%E4%B8%9C%E7%9C%81%E6%B7%B1%E5%9C%B3%E5%B8%82%E5%8D%97%E5%B1%B1%E5%8C%BA%E7%B2%A4%E6%B5%B7%E8%A1%97%E9%81%93%E7%A7%91%E5%85%B4%E8%B7%AF6%E5%8F%B7%E7%A7%91%E8%8B%91%E8%A5%BF%E4%BD%8F%E5%AE%85%E5%B0%8F%E5%8C%BA_%E7%A7%91%E8%8B%91%E8%A5%BF%E5%B0%8F%E5%8C%BA.html","查看证据(4项/5张)")</f>
        <v/>
      </c>
      <c r="P88" t="inlineStr">
        <is>
          <t>92.0</t>
        </is>
      </c>
      <c r="Q88" t="inlineStr">
        <is>
          <t>是</t>
        </is>
      </c>
      <c r="R88" t="inlineStr">
        <is>
          <t>处理进行中</t>
        </is>
      </c>
      <c r="S88" t="inlineStr">
        <is>
          <t>处理人处理</t>
        </is>
      </c>
      <c r="T88" t="inlineStr">
        <is>
          <t>2026-09-07</t>
        </is>
      </c>
      <c r="U88" t="inlineStr">
        <is>
          <t>2026-09-07</t>
        </is>
      </c>
      <c r="V88" t="inlineStr">
        <is>
          <t>2026-09-07 17:30:17.0</t>
        </is>
      </c>
      <c r="W88" t="inlineStr">
        <is>
          <t>3512.03</t>
        </is>
      </c>
      <c r="Y88" t="inlineStr">
        <is>
          <t>是</t>
        </is>
      </c>
      <c r="Z88" t="inlineStr">
        <is>
          <t>否</t>
        </is>
      </c>
    </row>
    <row r="89">
      <c r="A89" t="inlineStr">
        <is>
          <t>住宅小区</t>
        </is>
      </c>
      <c r="B89" t="inlineStr">
        <is>
          <t>维用综合楼科苑居小区</t>
        </is>
      </c>
      <c r="C89" t="inlineStr">
        <is>
          <t>南山区</t>
        </is>
      </c>
      <c r="D89" t="inlineStr">
        <is>
          <t>粤海街道</t>
        </is>
      </c>
      <c r="E89" t="inlineStr">
        <is>
          <t>科技园社区</t>
        </is>
      </c>
      <c r="F89" t="inlineStr">
        <is>
          <t>深圳市南山区科技园科发路10号</t>
        </is>
      </c>
      <c r="G89" t="inlineStr">
        <is>
          <t>日间巡查</t>
        </is>
      </c>
      <c r="H89" t="inlineStr">
        <is>
          <t>苏成龙</t>
        </is>
      </c>
      <c r="I89" t="inlineStr">
        <is>
          <t>18307612379</t>
        </is>
      </c>
      <c r="K89" t="inlineStr">
        <is>
          <t>31</t>
        </is>
      </c>
      <c r="L89" t="inlineStr">
        <is>
          <t>5</t>
        </is>
      </c>
      <c r="M89" t="inlineStr">
        <is>
          <t>1.缺少玻璃收集容器2.无需填写3.无需填写4.无需填写5.无需填写</t>
        </is>
      </c>
      <c r="N89" t="inlineStr">
        <is>
          <t>1.1: 设置集中分类投放点，摆放可回收物、厨余垃圾、其他垃圾三类收集容器。（6分） (-2)
1.8: 设置公示牌，清晰公示管理责任人和电话、专项垃圾暂存点和废旧织物回收箱位置、厨余垃圾投放时段、各类垃圾收运处理企业等信息。（4分） (-2)
1.13: 收集容器外壁及内桶保持干净整洁，避免陈旧性脏污，收集容器内无积水。（4分） (-2)
2.3: 各类垃圾及时清运。（2分） (-2)
2.4: 暂存点及其周围环境干净整洁，没有污水积聚或散落垃圾，禁止存放易燃易爆危险品，禁止违规接电、住人。（2分） (-2)</t>
        </is>
      </c>
      <c r="O89">
        <f>HYPERLINK("https://yueling-buddy.github.io/xxr-inspection-album/weeks/2026-09-03/venue/v-%E6%B7%B1%E5%9C%B3%E5%B8%82%E5%8D%97%E5%B1%B1%E5%8C%BA%E7%A7%91%E6%8A%80%E5%9B%AD%E7%A7%91%E5%8F%91%E8%B7%AF10%E5%8F%B7_%E7%BB%B4%E7%94%A8%E7%BB%BC%E5%90%88%E6%A5%BC%E7%A7%91%E8%8B%91%E5%B1%85%E5%B0%8F%E5%8C%BA.html","查看证据(5项/7张)")</f>
        <v/>
      </c>
      <c r="P89" t="inlineStr">
        <is>
          <t>90.0</t>
        </is>
      </c>
      <c r="Q89" t="inlineStr">
        <is>
          <t>是</t>
        </is>
      </c>
      <c r="R89" t="inlineStr">
        <is>
          <t>处理进行中</t>
        </is>
      </c>
      <c r="S89" t="inlineStr">
        <is>
          <t>处理人处理</t>
        </is>
      </c>
      <c r="T89" t="inlineStr">
        <is>
          <t>2026-09-07</t>
        </is>
      </c>
      <c r="U89" t="inlineStr">
        <is>
          <t>2026-09-07</t>
        </is>
      </c>
      <c r="V89" t="inlineStr">
        <is>
          <t>2026-09-07 17:30:12.0</t>
        </is>
      </c>
      <c r="W89" t="inlineStr">
        <is>
          <t>3705.33</t>
        </is>
      </c>
      <c r="Y89" t="inlineStr">
        <is>
          <t>是</t>
        </is>
      </c>
      <c r="Z89" t="inlineStr">
        <is>
          <t>否</t>
        </is>
      </c>
    </row>
    <row r="90">
      <c r="A90" t="inlineStr">
        <is>
          <t>商务写字楼</t>
        </is>
      </c>
      <c r="B90" t="inlineStr">
        <is>
          <t>深圳市东方科技大厦</t>
        </is>
      </c>
      <c r="C90" t="inlineStr">
        <is>
          <t>南山区</t>
        </is>
      </c>
      <c r="D90" t="inlineStr">
        <is>
          <t>粤海街道</t>
        </is>
      </c>
      <c r="E90" t="inlineStr">
        <is>
          <t>科技园社区</t>
        </is>
      </c>
      <c r="F90" t="inlineStr">
        <is>
          <t>南山区科苑路16号东方科技大厦</t>
        </is>
      </c>
      <c r="G90" t="inlineStr">
        <is>
          <t>日间巡查</t>
        </is>
      </c>
      <c r="H90" t="inlineStr">
        <is>
          <t>苏成龙</t>
        </is>
      </c>
      <c r="I90" t="inlineStr">
        <is>
          <t>18307612379</t>
        </is>
      </c>
      <c r="K90" t="inlineStr">
        <is>
          <t>12</t>
        </is>
      </c>
      <c r="L90" t="inlineStr">
        <is>
          <t>3</t>
        </is>
      </c>
      <c r="M90" t="inlineStr">
        <is>
          <t>1.无需填写2.无需填写3.无需填写</t>
        </is>
      </c>
      <c r="N90" t="inlineStr">
        <is>
          <t>1.1: 公共区域成组摆放可回收物、其他垃圾收集容器。 (-3)
1.4: 各类收集容器的分类标志完整、正确、清晰。 (-6)
2.2: 收集容器、暂存点及其周围环境干净整洁，无垃圾满溢、暴露垃圾，无杂物堆放。 (-3)</t>
        </is>
      </c>
      <c r="O90">
        <f>HYPERLINK("https://yueling-buddy.github.io/xxr-inspection-album/weeks/2026-09-03/venue/v-%E5%8D%97%E5%B1%B1%E5%8C%BA%E7%A7%91%E8%8B%91%E8%B7%AF16%E5%8F%B7%E4%B8%9C%E6%96%B9%E7%A7%91%E6%8A%80%E5%A4%A7%E5%8E%A6_%E6%B7%B1%E5%9C%B3%E5%B8%82%E4%B8%9C%E6%96%B9%E7%A7%91%E6%8A%80%E5%A4%A7%E5%8E%A6.html","查看证据(3项/4张)")</f>
        <v/>
      </c>
      <c r="P90" t="inlineStr">
        <is>
          <t>88.0</t>
        </is>
      </c>
      <c r="Q90" t="inlineStr">
        <is>
          <t>是</t>
        </is>
      </c>
      <c r="R90" t="inlineStr">
        <is>
          <t>处理进行中</t>
        </is>
      </c>
      <c r="S90" t="inlineStr">
        <is>
          <t>处理人处理</t>
        </is>
      </c>
      <c r="T90" t="inlineStr">
        <is>
          <t>2026-09-08</t>
        </is>
      </c>
      <c r="U90" t="inlineStr">
        <is>
          <t>2026-09-07</t>
        </is>
      </c>
      <c r="V90" t="inlineStr">
        <is>
          <t>2026-09-08 09:58:58.0</t>
        </is>
      </c>
      <c r="W90" t="inlineStr">
        <is>
          <t>4029.68</t>
        </is>
      </c>
      <c r="Y90" t="inlineStr">
        <is>
          <t>否</t>
        </is>
      </c>
      <c r="Z90" t="inlineStr">
        <is>
          <t>否</t>
        </is>
      </c>
    </row>
    <row r="91">
      <c r="A91" t="inlineStr">
        <is>
          <t>住宅小区</t>
        </is>
      </c>
      <c r="B91" t="inlineStr">
        <is>
          <t>科苑东小区</t>
        </is>
      </c>
      <c r="C91" t="inlineStr">
        <is>
          <t>南山区</t>
        </is>
      </c>
      <c r="D91" t="inlineStr">
        <is>
          <t>粤海街道</t>
        </is>
      </c>
      <c r="E91" t="inlineStr">
        <is>
          <t>科技园社区</t>
        </is>
      </c>
      <c r="F91" t="inlineStr">
        <is>
          <t>广东省深圳市南山区粤海街道科技园社区警务室科苑花园(科华路)</t>
        </is>
      </c>
      <c r="G91" t="inlineStr">
        <is>
          <t>日间巡查</t>
        </is>
      </c>
      <c r="H91" t="inlineStr">
        <is>
          <t>苏成龙</t>
        </is>
      </c>
      <c r="I91" t="inlineStr">
        <is>
          <t>18307612379</t>
        </is>
      </c>
      <c r="K91" t="inlineStr">
        <is>
          <t>33</t>
        </is>
      </c>
      <c r="L91" t="inlineStr">
        <is>
          <t>3</t>
        </is>
      </c>
      <c r="M91" t="inlineStr">
        <is>
          <t>1.无需填写2.未在系统里面3.未保持密闭</t>
        </is>
      </c>
      <c r="N91" t="inlineStr">
        <is>
          <t>1.8: 设置公示牌，清晰公示管理责任人和电话、专项垃圾暂存点和废旧织物回收箱位置、厨余垃圾投放时段、各类垃圾收运处理企业等信息。（4分） (-4)
1.15: 投放点均安装具备AI识别功能的视频监控设备，监控视野保持在合理角度。（4分） (-2)
3.2: 暂存点及其周围环境干净整洁，各类桶整齐、密闭摆放，没有污水积聚或散落垃圾。（2分） (-2)</t>
        </is>
      </c>
      <c r="O91">
        <f>HYPERLINK("https://yueling-buddy.github.io/xxr-inspection-album/weeks/2026-09-03/venue/v-%E5%B9%BF%E4%B8%9C%E7%9C%81%E6%B7%B1%E5%9C%B3%E5%B8%82%E5%8D%97%E5%B1%B1%E5%8C%BA%E7%B2%A4%E6%B5%B7%E8%A1%97%E9%81%93%E7%A7%91%E6%8A%80%E5%9B%AD%E7%A4%BE%E5%8C%BA%E8%AD%A6%E5%8A%A1%E5%AE%A4%E7%A7%91%E8%8B%91%E8%8A%B1%E5%9B%AD_%E7%A7%91%E5%8D%8E%E8%B7%AF_%E7%A7%91%E8%8B%91%E4%B8%9C%E5%B0%8F%E5%8C%BA.html","查看证据(3项/5张)")</f>
        <v/>
      </c>
      <c r="P91" t="inlineStr">
        <is>
          <t>92.0</t>
        </is>
      </c>
      <c r="Q91" t="inlineStr">
        <is>
          <t>是</t>
        </is>
      </c>
      <c r="R91" t="inlineStr">
        <is>
          <t>处理进行中</t>
        </is>
      </c>
      <c r="S91" t="inlineStr">
        <is>
          <t>处理人处理</t>
        </is>
      </c>
      <c r="T91" t="inlineStr">
        <is>
          <t>2026-09-08</t>
        </is>
      </c>
      <c r="U91" t="inlineStr">
        <is>
          <t>2026-09-07</t>
        </is>
      </c>
      <c r="V91" t="inlineStr">
        <is>
          <t>2026-09-08 09:57:38.0</t>
        </is>
      </c>
      <c r="W91" t="inlineStr">
        <is>
          <t>3593.06</t>
        </is>
      </c>
      <c r="Y91" t="inlineStr">
        <is>
          <t>是</t>
        </is>
      </c>
      <c r="Z91" t="inlineStr">
        <is>
          <t>否</t>
        </is>
      </c>
    </row>
    <row r="92">
      <c r="A92" t="inlineStr">
        <is>
          <t>住宅小区</t>
        </is>
      </c>
      <c r="B92" t="inlineStr">
        <is>
          <t>桑达苑</t>
        </is>
      </c>
      <c r="C92" t="inlineStr">
        <is>
          <t>南山区</t>
        </is>
      </c>
      <c r="D92" t="inlineStr">
        <is>
          <t>粤海街道</t>
        </is>
      </c>
      <c r="E92" t="inlineStr">
        <is>
          <t>科技园社区</t>
        </is>
      </c>
      <c r="F92" t="inlineStr">
        <is>
          <t>广东省深圳市南山区粤海街道桑达苑</t>
        </is>
      </c>
      <c r="G92" t="inlineStr">
        <is>
          <t>日间巡查</t>
        </is>
      </c>
      <c r="H92" t="inlineStr">
        <is>
          <t>苏成龙</t>
        </is>
      </c>
      <c r="I92" t="inlineStr">
        <is>
          <t>18307612379</t>
        </is>
      </c>
      <c r="K92" t="inlineStr">
        <is>
          <t>33</t>
        </is>
      </c>
      <c r="L92" t="inlineStr">
        <is>
          <t>3</t>
        </is>
      </c>
      <c r="M92" t="inlineStr">
        <is>
          <t>1.无需填写2.无需填写3.无需填写</t>
        </is>
      </c>
      <c r="N92" t="inlineStr">
        <is>
          <t>1.6: 设置洗手设施。（2分） (-1)
1.8: 设置公示牌，清晰公示管理责任人和电话、专项垃圾暂存点和废旧织物回收箱位置、厨余垃圾投放时段、各类垃圾收运处理企业等信息。（4分） (-2)
1.13: 收集容器外壁及内桶保持干净整洁，避免陈旧性脏污，收集容器内无积水。（4分） (-2)</t>
        </is>
      </c>
      <c r="O92">
        <f>HYPERLINK("https://yueling-buddy.github.io/xxr-inspection-album/weeks/2026-09-03/venue/v-%E5%B9%BF%E4%B8%9C%E7%9C%81%E6%B7%B1%E5%9C%B3%E5%B8%82%E5%8D%97%E5%B1%B1%E5%8C%BA%E7%B2%A4%E6%B5%B7%E8%A1%97%E9%81%93%E6%A1%91%E8%BE%BE%E8%8B%91_%E6%A1%91%E8%BE%BE%E8%8B%91.html","查看证据(3项/6张)")</f>
        <v/>
      </c>
      <c r="P92" t="inlineStr">
        <is>
          <t>95.0</t>
        </is>
      </c>
      <c r="Q92" t="inlineStr">
        <is>
          <t>是</t>
        </is>
      </c>
      <c r="R92" t="inlineStr">
        <is>
          <t>处理进行中</t>
        </is>
      </c>
      <c r="S92" t="inlineStr">
        <is>
          <t>处理人处理</t>
        </is>
      </c>
      <c r="T92" t="inlineStr">
        <is>
          <t>2026-09-08</t>
        </is>
      </c>
      <c r="U92" t="inlineStr">
        <is>
          <t>2026-09-07</t>
        </is>
      </c>
      <c r="V92" t="inlineStr">
        <is>
          <t>2026-09-08 09:57:35.0</t>
        </is>
      </c>
      <c r="W92" t="inlineStr">
        <is>
          <t>3527.48</t>
        </is>
      </c>
      <c r="Y92" t="inlineStr">
        <is>
          <t>是</t>
        </is>
      </c>
      <c r="Z92" t="inlineStr">
        <is>
          <t>否</t>
        </is>
      </c>
    </row>
    <row r="93">
      <c r="A93" t="inlineStr">
        <is>
          <t>住宅小区</t>
        </is>
      </c>
      <c r="B93" t="inlineStr">
        <is>
          <t>南景南约新村</t>
        </is>
      </c>
      <c r="C93" t="inlineStr">
        <is>
          <t>龙岗区</t>
        </is>
      </c>
      <c r="D93" t="inlineStr">
        <is>
          <t>宝龙街道</t>
        </is>
      </c>
      <c r="E93" t="inlineStr">
        <is>
          <t>南约社区</t>
        </is>
      </c>
      <c r="F93" t="inlineStr">
        <is>
          <t>龙岗区宝龙街道高科大道88号南景南约新村</t>
        </is>
      </c>
      <c r="G93" t="inlineStr">
        <is>
          <t>日间巡查</t>
        </is>
      </c>
      <c r="H93" t="inlineStr">
        <is>
          <t>陈运初</t>
        </is>
      </c>
      <c r="I93" t="inlineStr">
        <is>
          <t>13714739365</t>
        </is>
      </c>
      <c r="K93" t="inlineStr">
        <is>
          <t>34</t>
        </is>
      </c>
      <c r="L93" t="inlineStr">
        <is>
          <t>2</t>
        </is>
      </c>
      <c r="M93" t="inlineStr">
        <is>
          <t>1.误时标识不规范</t>
        </is>
      </c>
      <c r="N93" t="inlineStr">
        <is>
          <t>1.4: 至少设置一处厨余垃圾误时投放点，张贴误时投放点标识，并保持24小时开放。（2分） (-2)
2.4: 暂存点及其周围环境干净整洁，没有污水积聚或散落垃圾，禁止存放易燃易爆危险品，禁止违规接电、住人。（2分） (-2)</t>
        </is>
      </c>
      <c r="O93">
        <f>HYPERLINK("https://yueling-buddy.github.io/xxr-inspection-album/weeks/2026-09-03/venue/v-%E9%BE%99%E5%B2%97%E5%8C%BA%E5%AE%9D%E9%BE%99%E8%A1%97%E9%81%93%E9%AB%98%E7%A7%91%E5%A4%A7%E9%81%9388%E5%8F%B7%E5%8D%97%E6%99%AF%E5%8D%97%E7%BA%A6%E6%96%B0%E6%9D%91_%E5%8D%97%E6%99%AF%E5%8D%97%E7%BA%A6%E6%96%B0%E6%9D%91.html","查看证据(2项/3张)")</f>
        <v/>
      </c>
      <c r="P93" t="inlineStr">
        <is>
          <t>96.0</t>
        </is>
      </c>
      <c r="Q93" t="inlineStr">
        <is>
          <t>是</t>
        </is>
      </c>
      <c r="R93" t="inlineStr">
        <is>
          <t>处理进行中</t>
        </is>
      </c>
      <c r="S93" t="inlineStr">
        <is>
          <t>处理人处理</t>
        </is>
      </c>
      <c r="T93" t="inlineStr">
        <is>
          <t>2026-09-08</t>
        </is>
      </c>
      <c r="U93" t="inlineStr">
        <is>
          <t>2026-09-07</t>
        </is>
      </c>
      <c r="V93" t="inlineStr">
        <is>
          <t>2026-09-08 09:57:16.0</t>
        </is>
      </c>
      <c r="W93" t="inlineStr">
        <is>
          <t>19971.55</t>
        </is>
      </c>
      <c r="Y93" t="inlineStr">
        <is>
          <t>是</t>
        </is>
      </c>
      <c r="Z93" t="inlineStr">
        <is>
          <t>否</t>
        </is>
      </c>
    </row>
    <row r="94">
      <c r="A94" t="inlineStr">
        <is>
          <t>城中村</t>
        </is>
      </c>
      <c r="B94" t="inlineStr">
        <is>
          <t>石桥头</t>
        </is>
      </c>
      <c r="C94" t="inlineStr">
        <is>
          <t>大鹏新区</t>
        </is>
      </c>
      <c r="D94" t="inlineStr">
        <is>
          <t>大鹏街道</t>
        </is>
      </c>
      <c r="E94" t="inlineStr">
        <is>
          <t>布新社区</t>
        </is>
      </c>
      <c r="F94" t="inlineStr">
        <is>
          <t>葵南路110石桥头小区</t>
        </is>
      </c>
      <c r="G94" t="inlineStr">
        <is>
          <t>日间巡查</t>
        </is>
      </c>
      <c r="H94" t="inlineStr">
        <is>
          <t>胡正负</t>
        </is>
      </c>
      <c r="I94" t="inlineStr">
        <is>
          <t>13723402248</t>
        </is>
      </c>
      <c r="K94" t="inlineStr">
        <is>
          <t>25</t>
        </is>
      </c>
      <c r="L94" t="inlineStr">
        <is>
          <t>7</t>
        </is>
      </c>
      <c r="N94" t="inlineStr">
        <is>
          <t>1.6: 设置洗手设施。（2分） (-1)
1.15: 投放点均安装具备AI识别功能的视频监控设备，监控视野保持在合理角度。（4分） (-2)
1.17: 转运桶应在黄线划定区域内摆放整齐并保持全天关闭（作业状态除外），禁止罩外摆桶供居民投放。（6分） (-2)
1.18: 禁止在楼层、地面或车库等设置分散式垃圾收集容器。（4分） (-5)
2.2: 设置消防设施，使用功能正常，取用方便。（2分） (-2)
2.4: 暂存点及其周围环境干净整洁，没有污水积聚或散落垃圾，禁止存放易燃易爆危险品，禁止违规接电、住人。（2分） (-2)
3.1: 各类垃圾及时清运。（2分） (-2)</t>
        </is>
      </c>
      <c r="O94">
        <f>HYPERLINK("https://yueling-buddy.github.io/xxr-inspection-album/weeks/2026-09-03/venue/v-%E8%91%B5%E5%8D%97%E8%B7%AF110%E7%9F%B3%E6%A1%A5%E5%A4%B4%E5%B0%8F%E5%8C%BA_%E7%9F%B3%E6%A1%A5%E5%A4%B4.html","查看证据(7项/11张)")</f>
        <v/>
      </c>
      <c r="P94" t="inlineStr">
        <is>
          <t>84.0</t>
        </is>
      </c>
      <c r="Q94" t="inlineStr">
        <is>
          <t>是</t>
        </is>
      </c>
      <c r="R94" t="inlineStr">
        <is>
          <t>处理进行中</t>
        </is>
      </c>
      <c r="S94" t="inlineStr">
        <is>
          <t>处理人处理</t>
        </is>
      </c>
      <c r="T94" t="inlineStr">
        <is>
          <t>2026-09-07</t>
        </is>
      </c>
      <c r="U94" t="inlineStr">
        <is>
          <t>2026-09-07</t>
        </is>
      </c>
      <c r="V94" t="inlineStr">
        <is>
          <t>2026-09-07 17:30:42.0</t>
        </is>
      </c>
      <c r="W94" t="inlineStr">
        <is>
          <t>49937.79</t>
        </is>
      </c>
      <c r="Y94" t="inlineStr">
        <is>
          <t>是</t>
        </is>
      </c>
      <c r="Z94" t="inlineStr">
        <is>
          <t>是</t>
        </is>
      </c>
    </row>
    <row r="95">
      <c r="A95" t="inlineStr">
        <is>
          <t>城中村</t>
        </is>
      </c>
      <c r="B95" t="inlineStr">
        <is>
          <t>南约社区联和村</t>
        </is>
      </c>
      <c r="C95" t="inlineStr">
        <is>
          <t>龙岗区</t>
        </is>
      </c>
      <c r="D95" t="inlineStr">
        <is>
          <t>宝龙街道</t>
        </is>
      </c>
      <c r="E95" t="inlineStr">
        <is>
          <t>南约社区</t>
        </is>
      </c>
      <c r="F95" t="inlineStr">
        <is>
          <t>深圳市龙岗区宝龙街道南约社区联和办公室201</t>
        </is>
      </c>
      <c r="G95" t="inlineStr">
        <is>
          <t>日间巡查</t>
        </is>
      </c>
      <c r="H95" t="inlineStr">
        <is>
          <t>陈运初</t>
        </is>
      </c>
      <c r="I95" t="inlineStr">
        <is>
          <t>13714739365</t>
        </is>
      </c>
      <c r="K95" t="inlineStr">
        <is>
          <t>30</t>
        </is>
      </c>
      <c r="L95" t="inlineStr">
        <is>
          <t>2</t>
        </is>
      </c>
      <c r="M95" t="inlineStr">
        <is>
          <t>1.联和小区2.联和小区</t>
        </is>
      </c>
      <c r="N95" t="inlineStr">
        <is>
          <t>1.5: 分类标志完整、正确、清晰，各类垃圾收集容器外罩和内桶的颜色正确。（4分） (-2)
4.2: 箱体外观应使用“深i回收”标识，并公示备案编号、监管电话、回收电话等信息，回收电话真实有效，提供预约回收服务。（1分） (-1)</t>
        </is>
      </c>
      <c r="O95">
        <f>HYPERLINK("https://yueling-buddy.github.io/xxr-inspection-album/weeks/2026-09-03/venue/v-%E6%B7%B1%E5%9C%B3%E5%B8%82%E9%BE%99%E5%B2%97%E5%8C%BA%E5%AE%9D%E9%BE%99%E8%A1%97%E9%81%93%E5%8D%97%E7%BA%A6%E7%A4%BE%E5%8C%BA%E8%81%94%E5%92%8C%E5%8A%9E%E5%85%AC%E5%AE%A4201_%E5%8D%97%E7%BA%A6%E7%A4%BE%E5%8C%BA%E8%81%94%E5%92%8C%E6%9D%91.html","查看证据(2项/2张)")</f>
        <v/>
      </c>
      <c r="P95" t="inlineStr">
        <is>
          <t>97.0</t>
        </is>
      </c>
      <c r="Q95" t="inlineStr">
        <is>
          <t>是</t>
        </is>
      </c>
      <c r="R95" t="inlineStr">
        <is>
          <t>处理进行中</t>
        </is>
      </c>
      <c r="S95" t="inlineStr">
        <is>
          <t>处理人处理</t>
        </is>
      </c>
      <c r="T95" t="inlineStr">
        <is>
          <t>2026-09-08</t>
        </is>
      </c>
      <c r="U95" t="inlineStr">
        <is>
          <t>2026-09-07</t>
        </is>
      </c>
      <c r="V95" t="inlineStr">
        <is>
          <t>2026-09-08 09:57:00.0</t>
        </is>
      </c>
      <c r="W95" t="inlineStr">
        <is>
          <t>20106.64</t>
        </is>
      </c>
      <c r="Y95" t="inlineStr">
        <is>
          <t>是</t>
        </is>
      </c>
      <c r="Z95" t="inlineStr">
        <is>
          <t>否</t>
        </is>
      </c>
    </row>
    <row r="96">
      <c r="A96" t="inlineStr">
        <is>
          <t>城中村</t>
        </is>
      </c>
      <c r="B96" t="inlineStr">
        <is>
          <t>新屋园</t>
        </is>
      </c>
      <c r="C96" t="inlineStr">
        <is>
          <t>大鹏新区</t>
        </is>
      </c>
      <c r="D96" t="inlineStr">
        <is>
          <t>大鹏街道</t>
        </is>
      </c>
      <c r="E96" t="inlineStr">
        <is>
          <t>布新社区</t>
        </is>
      </c>
      <c r="F96" t="inlineStr">
        <is>
          <t>大鹏新区大鹏街道布新路84号</t>
        </is>
      </c>
      <c r="G96" t="inlineStr">
        <is>
          <t>日间巡查</t>
        </is>
      </c>
      <c r="H96" t="inlineStr">
        <is>
          <t>胡正负</t>
        </is>
      </c>
      <c r="I96" t="inlineStr">
        <is>
          <t>13723402248</t>
        </is>
      </c>
      <c r="K96" t="inlineStr">
        <is>
          <t>28</t>
        </is>
      </c>
      <c r="L96" t="inlineStr">
        <is>
          <t>4</t>
        </is>
      </c>
      <c r="N96" t="inlineStr">
        <is>
          <t>1.6: 设置洗手设施。（2分） (-1)
1.13: 收集容器外壁及内桶保持干净整洁，避免陈旧性脏污，收集容器内无积水。（6分） (-3)
2.2: 设置消防设施，使用功能正常，取用方便。（2分） (-2)
2.4: 暂存点及其周围环境干净整洁，没有污水积聚或散落垃圾，禁止存放易燃易爆危险品，禁止违规接电、住人。（2分） (-2)</t>
        </is>
      </c>
      <c r="O96">
        <f>HYPERLINK("https://yueling-buddy.github.io/xxr-inspection-album/weeks/2026-09-03/venue/v-%E5%A4%A7%E9%B9%8F%E6%96%B0%E5%8C%BA%E5%A4%A7%E9%B9%8F%E8%A1%97%E9%81%93%E5%B8%83%E6%96%B0%E8%B7%AF84%E5%8F%B7_%E6%96%B0%E5%B1%8B%E5%9B%AD.html","查看证据(4项/7张)")</f>
        <v/>
      </c>
      <c r="P96" t="inlineStr">
        <is>
          <t>92.0</t>
        </is>
      </c>
      <c r="Q96" t="inlineStr">
        <is>
          <t>是</t>
        </is>
      </c>
      <c r="R96" t="inlineStr">
        <is>
          <t>处理进行中</t>
        </is>
      </c>
      <c r="S96" t="inlineStr">
        <is>
          <t>处理人处理</t>
        </is>
      </c>
      <c r="T96" t="inlineStr">
        <is>
          <t>2026-09-07</t>
        </is>
      </c>
      <c r="U96" t="inlineStr">
        <is>
          <t>2026-09-07</t>
        </is>
      </c>
      <c r="V96" t="inlineStr">
        <is>
          <t>2026-09-07 17:30:51.0</t>
        </is>
      </c>
      <c r="W96" t="inlineStr">
        <is>
          <t>50213.15</t>
        </is>
      </c>
      <c r="Y96" t="inlineStr">
        <is>
          <t>是</t>
        </is>
      </c>
      <c r="Z96" t="inlineStr">
        <is>
          <t>否</t>
        </is>
      </c>
    </row>
    <row r="97">
      <c r="A97" t="inlineStr">
        <is>
          <t>城中村</t>
        </is>
      </c>
      <c r="B97" t="inlineStr">
        <is>
          <t>布锦村</t>
        </is>
      </c>
      <c r="C97" t="inlineStr">
        <is>
          <t>大鹏新区</t>
        </is>
      </c>
      <c r="D97" t="inlineStr">
        <is>
          <t>大鹏街道</t>
        </is>
      </c>
      <c r="E97" t="inlineStr">
        <is>
          <t>布新社区</t>
        </is>
      </c>
      <c r="F97" t="inlineStr">
        <is>
          <t>布新路91-5</t>
        </is>
      </c>
      <c r="G97" t="inlineStr">
        <is>
          <t>日间巡查</t>
        </is>
      </c>
      <c r="H97" t="inlineStr">
        <is>
          <t>胡正负</t>
        </is>
      </c>
      <c r="I97" t="inlineStr">
        <is>
          <t>13723402248</t>
        </is>
      </c>
      <c r="K97" t="inlineStr">
        <is>
          <t>29</t>
        </is>
      </c>
      <c r="L97" t="inlineStr">
        <is>
          <t>3</t>
        </is>
      </c>
      <c r="N97" t="inlineStr">
        <is>
          <t>1.6: 设置洗手设施。（2分） (-1)
1.16: 禁止通过捆绑、卡挡或上锁等方式封闭或遮挡投放口。（4分） (-2)
1.17: 转运桶应在黄线划定区域内摆放整齐并保持全天关闭（作业状态除外），禁止罩外摆桶供居民投放。（6分） (-2)</t>
        </is>
      </c>
      <c r="O97">
        <f>HYPERLINK("https://yueling-buddy.github.io/xxr-inspection-album/weeks/2026-09-03/venue/v-%E5%B8%83%E6%96%B0%E8%B7%AF91_5_%E5%B8%83%E9%94%A6%E6%9D%91.html","查看证据(3项/3张)")</f>
        <v/>
      </c>
      <c r="P97" t="inlineStr">
        <is>
          <t>95.0</t>
        </is>
      </c>
      <c r="Q97" t="inlineStr">
        <is>
          <t>是</t>
        </is>
      </c>
      <c r="R97" t="inlineStr">
        <is>
          <t>处理进行中</t>
        </is>
      </c>
      <c r="S97" t="inlineStr">
        <is>
          <t>处理人处理</t>
        </is>
      </c>
      <c r="T97" t="inlineStr">
        <is>
          <t>2026-09-07</t>
        </is>
      </c>
      <c r="U97" t="inlineStr">
        <is>
          <t>2026-09-07</t>
        </is>
      </c>
      <c r="V97" t="inlineStr">
        <is>
          <t>2026-09-07 17:30:55.0</t>
        </is>
      </c>
      <c r="W97" t="inlineStr">
        <is>
          <t>50080.97</t>
        </is>
      </c>
      <c r="Y97" t="inlineStr">
        <is>
          <t>是</t>
        </is>
      </c>
      <c r="Z97" t="inlineStr">
        <is>
          <t>是</t>
        </is>
      </c>
    </row>
    <row r="98">
      <c r="A98" t="inlineStr">
        <is>
          <t>城中村</t>
        </is>
      </c>
      <c r="B98" t="inlineStr">
        <is>
          <t>南坑埔</t>
        </is>
      </c>
      <c r="C98" t="inlineStr">
        <is>
          <t>大鹏新区</t>
        </is>
      </c>
      <c r="D98" t="inlineStr">
        <is>
          <t>大鹏街道</t>
        </is>
      </c>
      <c r="E98" t="inlineStr">
        <is>
          <t>布新社区</t>
        </is>
      </c>
      <c r="F98" t="inlineStr">
        <is>
          <t>布新路130号</t>
        </is>
      </c>
      <c r="G98" t="inlineStr">
        <is>
          <t>日间巡查</t>
        </is>
      </c>
      <c r="H98" t="inlineStr">
        <is>
          <t>胡正负</t>
        </is>
      </c>
      <c r="I98" t="inlineStr">
        <is>
          <t>13723402248</t>
        </is>
      </c>
      <c r="K98" t="inlineStr">
        <is>
          <t>31</t>
        </is>
      </c>
      <c r="L98" t="inlineStr">
        <is>
          <t>1</t>
        </is>
      </c>
      <c r="N98" t="inlineStr">
        <is>
          <t>2.2: 设置消防设施，使用功能正常，取用方便。（2分） (-2)</t>
        </is>
      </c>
      <c r="O98">
        <f>HYPERLINK("https://yueling-buddy.github.io/xxr-inspection-album/weeks/2026-09-03/venue/v-%E5%B8%83%E6%96%B0%E8%B7%AF130%E5%8F%B7_%E5%8D%97%E5%9D%91%E5%9F%94.html","查看证据(1项/2张)")</f>
        <v/>
      </c>
      <c r="P98" t="inlineStr">
        <is>
          <t>98.0</t>
        </is>
      </c>
      <c r="Q98" t="inlineStr">
        <is>
          <t>是</t>
        </is>
      </c>
      <c r="R98" t="inlineStr">
        <is>
          <t>处理进行中</t>
        </is>
      </c>
      <c r="S98" t="inlineStr">
        <is>
          <t>处理人处理</t>
        </is>
      </c>
      <c r="T98" t="inlineStr">
        <is>
          <t>2026-09-07</t>
        </is>
      </c>
      <c r="U98" t="inlineStr">
        <is>
          <t>2026-09-07</t>
        </is>
      </c>
      <c r="V98" t="inlineStr">
        <is>
          <t>2026-09-07 17:31:00.0</t>
        </is>
      </c>
      <c r="W98" t="inlineStr">
        <is>
          <t>50245.3</t>
        </is>
      </c>
      <c r="Y98" t="inlineStr">
        <is>
          <t>是</t>
        </is>
      </c>
      <c r="Z98" t="inlineStr">
        <is>
          <t>否</t>
        </is>
      </c>
    </row>
    <row r="99">
      <c r="A99" t="inlineStr">
        <is>
          <t>住宅小区</t>
        </is>
      </c>
      <c r="B99" t="inlineStr">
        <is>
          <t>布新统建楼</t>
        </is>
      </c>
      <c r="C99" t="inlineStr">
        <is>
          <t>大鹏新区</t>
        </is>
      </c>
      <c r="D99" t="inlineStr">
        <is>
          <t>大鹏街道</t>
        </is>
      </c>
      <c r="E99" t="inlineStr">
        <is>
          <t>布新社区</t>
        </is>
      </c>
      <c r="F99" t="inlineStr">
        <is>
          <t>广东省深圳市龙岗区大鹏街道布新统建楼</t>
        </is>
      </c>
      <c r="G99" t="inlineStr">
        <is>
          <t>日间巡查</t>
        </is>
      </c>
      <c r="H99" t="inlineStr">
        <is>
          <t>胡正负</t>
        </is>
      </c>
      <c r="I99" t="inlineStr">
        <is>
          <t>13723402248</t>
        </is>
      </c>
      <c r="K99" t="inlineStr">
        <is>
          <t>34</t>
        </is>
      </c>
      <c r="L99" t="inlineStr">
        <is>
          <t>2</t>
        </is>
      </c>
      <c r="N99" t="inlineStr">
        <is>
          <t>1.14: 各类垃圾及时清运，投放点及其周围环境干净整洁，没有垃圾满溢、暴露垃圾、杂物堆放、严重积水或明显异味等问题。（6分） (-2)
2.3: 各类垃圾及时清运。（2分） (-2)</t>
        </is>
      </c>
      <c r="O99">
        <f>HYPERLINK("https://yueling-buddy.github.io/xxr-inspection-album/weeks/2026-09-03/venue/v-%E5%B9%BF%E4%B8%9C%E7%9C%81%E6%B7%B1%E5%9C%B3%E5%B8%82%E9%BE%99%E5%B2%97%E5%8C%BA%E5%A4%A7%E9%B9%8F%E8%A1%97%E9%81%93%E5%B8%83%E6%96%B0%E7%BB%9F%E5%BB%BA%E6%A5%BC_%E5%B8%83%E6%96%B0%E7%BB%9F%E5%BB%BA%E6%A5%BC.html","查看证据(2项/3张)")</f>
        <v/>
      </c>
      <c r="P99" t="inlineStr">
        <is>
          <t>96.0</t>
        </is>
      </c>
      <c r="Q99" t="inlineStr">
        <is>
          <t>是</t>
        </is>
      </c>
      <c r="R99" t="inlineStr">
        <is>
          <t>处理进行中</t>
        </is>
      </c>
      <c r="S99" t="inlineStr">
        <is>
          <t>处理人处理</t>
        </is>
      </c>
      <c r="T99" t="inlineStr">
        <is>
          <t>2026-09-07</t>
        </is>
      </c>
      <c r="U99" t="inlineStr">
        <is>
          <t>2026-09-07</t>
        </is>
      </c>
      <c r="V99" t="inlineStr">
        <is>
          <t>2026-09-07 17:31:05.0</t>
        </is>
      </c>
      <c r="W99" t="inlineStr">
        <is>
          <t>49533.49</t>
        </is>
      </c>
      <c r="Y99" t="inlineStr">
        <is>
          <t>否</t>
        </is>
      </c>
      <c r="Z99" t="inlineStr">
        <is>
          <t>否</t>
        </is>
      </c>
    </row>
    <row r="100">
      <c r="A100" t="inlineStr">
        <is>
          <t>城中村</t>
        </is>
      </c>
      <c r="B100" t="inlineStr">
        <is>
          <t>水贝村</t>
        </is>
      </c>
      <c r="C100" t="inlineStr">
        <is>
          <t>大鹏新区</t>
        </is>
      </c>
      <c r="D100" t="inlineStr">
        <is>
          <t>大鹏街道</t>
        </is>
      </c>
      <c r="E100" t="inlineStr">
        <is>
          <t>布新社区</t>
        </is>
      </c>
      <c r="F100" t="inlineStr">
        <is>
          <t>大鹏街道布新社区水贝村</t>
        </is>
      </c>
      <c r="G100" t="inlineStr">
        <is>
          <t>日间巡查</t>
        </is>
      </c>
      <c r="H100" t="inlineStr">
        <is>
          <t>胡正负</t>
        </is>
      </c>
      <c r="I100" t="inlineStr">
        <is>
          <t>13723402248</t>
        </is>
      </c>
      <c r="K100" t="inlineStr">
        <is>
          <t>30</t>
        </is>
      </c>
      <c r="L100" t="inlineStr">
        <is>
          <t>2</t>
        </is>
      </c>
      <c r="N100" t="inlineStr">
        <is>
          <t>1.17: 转运桶应在黄线划定区域内摆放整齐并保持全天关闭（作业状态除外），禁止罩外摆桶供居民投放。（6分） (-2)
1.18: 禁止在楼层、地面或车库等设置分散式垃圾收集容器。（4分） (-5)</t>
        </is>
      </c>
      <c r="O100">
        <f>HYPERLINK("https://yueling-buddy.github.io/xxr-inspection-album/weeks/2026-09-03/venue/v-%E5%A4%A7%E9%B9%8F%E8%A1%97%E9%81%93%E5%B8%83%E6%96%B0%E7%A4%BE%E5%8C%BA%E6%B0%B4%E8%B4%9D%E6%9D%91_%E6%B0%B4%E8%B4%9D%E6%9D%91.html","查看证据(2项/2张)")</f>
        <v/>
      </c>
      <c r="P100" t="inlineStr">
        <is>
          <t>93.0</t>
        </is>
      </c>
      <c r="Q100" t="inlineStr">
        <is>
          <t>是</t>
        </is>
      </c>
      <c r="R100" t="inlineStr">
        <is>
          <t>处理进行中</t>
        </is>
      </c>
      <c r="S100" t="inlineStr">
        <is>
          <t>处理人处理</t>
        </is>
      </c>
      <c r="T100" t="inlineStr">
        <is>
          <t>2026-09-07</t>
        </is>
      </c>
      <c r="U100" t="inlineStr">
        <is>
          <t>2026-09-07</t>
        </is>
      </c>
      <c r="V100" t="inlineStr">
        <is>
          <t>2026-09-07 17:32:38.0</t>
        </is>
      </c>
      <c r="W100" t="inlineStr">
        <is>
          <t>50029.46</t>
        </is>
      </c>
      <c r="Y100" t="inlineStr">
        <is>
          <t>是</t>
        </is>
      </c>
      <c r="Z100" t="inlineStr">
        <is>
          <t>是</t>
        </is>
      </c>
    </row>
    <row r="101">
      <c r="A101" t="inlineStr">
        <is>
          <t>住宅小区</t>
        </is>
      </c>
      <c r="B101" t="inlineStr">
        <is>
          <t>卓越皇后道</t>
        </is>
      </c>
      <c r="C101" t="inlineStr">
        <is>
          <t>龙华区</t>
        </is>
      </c>
      <c r="D101" t="inlineStr">
        <is>
          <t>民治街道</t>
        </is>
      </c>
      <c r="E101" t="inlineStr">
        <is>
          <t>龙塘社区</t>
        </is>
      </c>
      <c r="F101" t="inlineStr">
        <is>
          <t>龙华区民治街道龙塘社区卓越皇后道</t>
        </is>
      </c>
      <c r="G101" t="inlineStr">
        <is>
          <t>日间巡查</t>
        </is>
      </c>
      <c r="H101" t="inlineStr">
        <is>
          <t>程磊</t>
        </is>
      </c>
      <c r="I101" t="inlineStr">
        <is>
          <t>13316950043</t>
        </is>
      </c>
      <c r="K101" t="inlineStr">
        <is>
          <t>33</t>
        </is>
      </c>
      <c r="L101" t="inlineStr">
        <is>
          <t>3</t>
        </is>
      </c>
      <c r="M101" t="inlineStr">
        <is>
          <t>1.通道上锁无法进入，集中分类投放点无法使用。</t>
        </is>
      </c>
      <c r="N101" t="inlineStr">
        <is>
          <t>1.4: 至少设置一处厨余垃圾误时投放点，张贴误时投放点标识，并保持24小时开放。（2分） (-2)
1.16: 禁止通过捆绑、卡挡或上锁等方式封闭或遮挡投放口。（4分） (-2)
2.3: 各类垃圾及时清运。（2分） (-2)</t>
        </is>
      </c>
      <c r="O101">
        <f>HYPERLINK("https://yueling-buddy.github.io/xxr-inspection-album/weeks/2026-09-03/venue/v-%E9%BE%99%E5%8D%8E%E5%8C%BA%E6%B0%91%E6%B2%BB%E8%A1%97%E9%81%93%E9%BE%99%E5%A1%98%E7%A4%BE%E5%8C%BA%E5%8D%93%E8%B6%8A%E7%9A%87%E5%90%8E%E9%81%93_%E5%8D%93%E8%B6%8A%E7%9A%87%E5%90%8E%E9%81%93.html","查看证据(3项/6张)")</f>
        <v/>
      </c>
      <c r="P101" t="inlineStr">
        <is>
          <t>94.0</t>
        </is>
      </c>
      <c r="Q101" t="inlineStr">
        <is>
          <t>是</t>
        </is>
      </c>
      <c r="R101" t="inlineStr">
        <is>
          <t>处理进行中</t>
        </is>
      </c>
      <c r="S101" t="inlineStr">
        <is>
          <t>处理人处理</t>
        </is>
      </c>
      <c r="T101" t="inlineStr">
        <is>
          <t>2026-09-07</t>
        </is>
      </c>
      <c r="U101" t="inlineStr">
        <is>
          <t>2026-09-04</t>
        </is>
      </c>
      <c r="V101" t="inlineStr">
        <is>
          <t>2026-09-07 17:32:43.0</t>
        </is>
      </c>
      <c r="W101" t="inlineStr">
        <is>
          <t>13209.44</t>
        </is>
      </c>
      <c r="Y101" t="inlineStr">
        <is>
          <t>是</t>
        </is>
      </c>
      <c r="Z101" t="inlineStr">
        <is>
          <t>是</t>
        </is>
      </c>
    </row>
    <row r="102">
      <c r="A102" t="inlineStr">
        <is>
          <t>住宅小区</t>
        </is>
      </c>
      <c r="B102" t="inlineStr">
        <is>
          <t>颐安都会中央二区</t>
        </is>
      </c>
      <c r="C102" t="inlineStr">
        <is>
          <t>龙岗区</t>
        </is>
      </c>
      <c r="D102" t="inlineStr">
        <is>
          <t>龙城街道</t>
        </is>
      </c>
      <c r="E102" t="inlineStr">
        <is>
          <t>爱联社区</t>
        </is>
      </c>
      <c r="F102" t="inlineStr">
        <is>
          <t>深圳市龙岗区龙飞大道10号</t>
        </is>
      </c>
      <c r="G102" t="inlineStr">
        <is>
          <t>日间巡查</t>
        </is>
      </c>
      <c r="H102" t="inlineStr">
        <is>
          <t>陈运初</t>
        </is>
      </c>
      <c r="I102" t="inlineStr">
        <is>
          <t>13714739365</t>
        </is>
      </c>
      <c r="K102" t="inlineStr">
        <is>
          <t>34</t>
        </is>
      </c>
      <c r="L102" t="inlineStr">
        <is>
          <t>2</t>
        </is>
      </c>
      <c r="N102" t="inlineStr">
        <is>
          <t>1.5: 分类标志完整、正确、清晰，各类垃圾收集容器外罩和内桶的颜色正确。（4分） (-2)
1.14: 各类垃圾及时清运，投放点及其周围环境干净整洁，没有垃圾满溢、暴露垃圾、杂物堆放、严重积水或明显异味等问题。（6分） (-4)</t>
        </is>
      </c>
      <c r="O102">
        <f>HYPERLINK("https://yueling-buddy.github.io/xxr-inspection-album/weeks/2026-09-03/venue/v-%E6%B7%B1%E5%9C%B3%E5%B8%82%E9%BE%99%E5%B2%97%E5%8C%BA%E9%BE%99%E9%A3%9E%E5%A4%A7%E9%81%9310%E5%8F%B7_%E9%A2%90%E5%AE%89%E9%83%BD%E4%BC%9A%E4%B8%AD%E5%A4%AE%E4%BA%8C%E5%8C%BA.html","查看证据(2项/6张)")</f>
        <v/>
      </c>
      <c r="P102" t="inlineStr">
        <is>
          <t>94.0</t>
        </is>
      </c>
      <c r="Q102" t="inlineStr">
        <is>
          <t>是</t>
        </is>
      </c>
      <c r="R102" t="inlineStr">
        <is>
          <t>处理进行中</t>
        </is>
      </c>
      <c r="S102" t="inlineStr">
        <is>
          <t>市级复查中</t>
        </is>
      </c>
      <c r="T102" t="inlineStr">
        <is>
          <t>2026-09-07</t>
        </is>
      </c>
      <c r="U102" t="inlineStr">
        <is>
          <t>2026-09-06</t>
        </is>
      </c>
      <c r="V102" t="inlineStr">
        <is>
          <t>2026-09-07 17:32:48.0</t>
        </is>
      </c>
      <c r="W102" t="inlineStr">
        <is>
          <t>15367.92</t>
        </is>
      </c>
      <c r="Y102" t="inlineStr">
        <is>
          <t>是</t>
        </is>
      </c>
      <c r="Z102" t="inlineStr">
        <is>
          <t>否</t>
        </is>
      </c>
    </row>
    <row r="103">
      <c r="A103" t="inlineStr">
        <is>
          <t>住宅小区</t>
        </is>
      </c>
      <c r="B103" t="inlineStr">
        <is>
          <t>颐安都会中央五区</t>
        </is>
      </c>
      <c r="C103" t="inlineStr">
        <is>
          <t>龙岗区</t>
        </is>
      </c>
      <c r="D103" t="inlineStr">
        <is>
          <t>龙城街道</t>
        </is>
      </c>
      <c r="E103" t="inlineStr">
        <is>
          <t>爱联社区</t>
        </is>
      </c>
      <c r="F103" t="inlineStr">
        <is>
          <t>深圳市龙岗区龙城街道爱联社区爱南路641号颐安都会中央花园（五区）</t>
        </is>
      </c>
      <c r="G103" t="inlineStr">
        <is>
          <t>日间巡查</t>
        </is>
      </c>
      <c r="H103" t="inlineStr">
        <is>
          <t>陈运初</t>
        </is>
      </c>
      <c r="I103" t="inlineStr">
        <is>
          <t>13714739365</t>
        </is>
      </c>
      <c r="K103" t="inlineStr">
        <is>
          <t>32</t>
        </is>
      </c>
      <c r="L103" t="inlineStr">
        <is>
          <t>4</t>
        </is>
      </c>
      <c r="N103" t="inlineStr">
        <is>
          <t>1.5: 分类标志完整、正确、清晰，各类垃圾收集容器外罩和内桶的颜色正确。（4分） (-4)
2.2: 设置消防设施，使用功能正常，取用方便。（2分） (-2)
4.1: 设备外观应使用“深i回收”标识，并公示服务单位、服务电话、回收品类、回收价格等基本信息，回收电话真实有效。（1分） (-1)
5.3: 箱体不得标示与城管部门合作或监制等字样，不得标榜公益捐赠等信息。（2分） (-2)</t>
        </is>
      </c>
      <c r="O103">
        <f>HYPERLINK("https://yueling-buddy.github.io/xxr-inspection-album/weeks/2026-09-03/venue/v-%E6%B7%B1%E5%9C%B3%E5%B8%82%E9%BE%99%E5%B2%97%E5%8C%BA%E9%BE%99%E5%9F%8E%E8%A1%97%E9%81%93%E7%88%B1%E8%81%94%E7%A4%BE%E5%8C%BA%E7%88%B1%E5%8D%97%E8%B7%AF641%E5%8F%B7%E9%A2%90%E5%AE%89%E9%83%BD%E4%BC%9A%E4%B8%AD%E5%A4%AE%E8%8A%B1%E5%9B%AD_%E4%BA%94%E5%8C%BA_%E9%A2%90%E5%AE%89%E9%83%BD%E4%BC%9A%E4%B8%AD%E5%A4%AE%E4%BA%94%E5%8C%BA.html","查看证据(4项/6张)")</f>
        <v/>
      </c>
      <c r="P103" t="inlineStr">
        <is>
          <t>91.0</t>
        </is>
      </c>
      <c r="Q103" t="inlineStr">
        <is>
          <t>是</t>
        </is>
      </c>
      <c r="R103" t="inlineStr">
        <is>
          <t>处理进行中</t>
        </is>
      </c>
      <c r="S103" t="inlineStr">
        <is>
          <t>处理人处理</t>
        </is>
      </c>
      <c r="T103" t="inlineStr">
        <is>
          <t>2026-09-07</t>
        </is>
      </c>
      <c r="U103" t="inlineStr">
        <is>
          <t>2026-09-06</t>
        </is>
      </c>
      <c r="V103" t="inlineStr">
        <is>
          <t>2026-09-07 17:32:51.0</t>
        </is>
      </c>
      <c r="W103" t="inlineStr">
        <is>
          <t>15507.35</t>
        </is>
      </c>
      <c r="Y103" t="inlineStr">
        <is>
          <t>是</t>
        </is>
      </c>
      <c r="Z103" t="inlineStr">
        <is>
          <t>否</t>
        </is>
      </c>
    </row>
    <row r="104">
      <c r="A104" t="inlineStr">
        <is>
          <t>住宅小区</t>
        </is>
      </c>
      <c r="B104" t="inlineStr">
        <is>
          <t>星河时代花园</t>
        </is>
      </c>
      <c r="C104" t="inlineStr">
        <is>
          <t>龙岗区</t>
        </is>
      </c>
      <c r="D104" t="inlineStr">
        <is>
          <t>龙城街道</t>
        </is>
      </c>
      <c r="E104" t="inlineStr">
        <is>
          <t>爱联社区</t>
        </is>
      </c>
      <c r="F104" t="inlineStr">
        <is>
          <t>深圳市龙岗区爱南路666号</t>
        </is>
      </c>
      <c r="G104" t="inlineStr">
        <is>
          <t>日间巡查</t>
        </is>
      </c>
      <c r="H104" t="inlineStr">
        <is>
          <t>陈运初</t>
        </is>
      </c>
      <c r="I104" t="inlineStr">
        <is>
          <t>13714739365</t>
        </is>
      </c>
      <c r="K104" t="inlineStr">
        <is>
          <t>35</t>
        </is>
      </c>
      <c r="L104" t="inlineStr">
        <is>
          <t>1</t>
        </is>
      </c>
      <c r="N104" t="inlineStr">
        <is>
          <t>4.1: 设备外观应使用“深i回收”标识，并公示服务单位、服务电话、回收品类、回收价格等基本信息，回收电话真实有效。（1分） (-1)</t>
        </is>
      </c>
      <c r="O104">
        <f>HYPERLINK("https://yueling-buddy.github.io/xxr-inspection-album/weeks/2026-09-03/venue/v-%E6%B7%B1%E5%9C%B3%E5%B8%82%E9%BE%99%E5%B2%97%E5%8C%BA%E7%88%B1%E5%8D%97%E8%B7%AF666%E5%8F%B7_%E6%98%9F%E6%B2%B3%E6%97%B6%E4%BB%A3%E8%8A%B1%E5%9B%AD.html","查看证据(1项/1张)")</f>
        <v/>
      </c>
      <c r="P104" t="inlineStr">
        <is>
          <t>99.0</t>
        </is>
      </c>
      <c r="Q104" t="inlineStr">
        <is>
          <t>是</t>
        </is>
      </c>
      <c r="R104" t="inlineStr">
        <is>
          <t>处理进行中</t>
        </is>
      </c>
      <c r="S104" t="inlineStr">
        <is>
          <t>处理人处理</t>
        </is>
      </c>
      <c r="T104" t="inlineStr">
        <is>
          <t>2026-09-07</t>
        </is>
      </c>
      <c r="U104" t="inlineStr">
        <is>
          <t>2026-09-06</t>
        </is>
      </c>
      <c r="V104" t="inlineStr">
        <is>
          <t>2026-09-07 17:32:55.0</t>
        </is>
      </c>
      <c r="W104" t="inlineStr">
        <is>
          <t>15835.7</t>
        </is>
      </c>
      <c r="Y104" t="inlineStr">
        <is>
          <t>是</t>
        </is>
      </c>
      <c r="Z104" t="inlineStr">
        <is>
          <t>否</t>
        </is>
      </c>
    </row>
    <row r="105">
      <c r="A105" t="inlineStr">
        <is>
          <t>住宅小区</t>
        </is>
      </c>
      <c r="B105" t="inlineStr">
        <is>
          <t>龙光玖悦台</t>
        </is>
      </c>
      <c r="C105" t="inlineStr">
        <is>
          <t>龙华区</t>
        </is>
      </c>
      <c r="D105" t="inlineStr">
        <is>
          <t>民治街道</t>
        </is>
      </c>
      <c r="E105" t="inlineStr">
        <is>
          <t>龙塘社区</t>
        </is>
      </c>
      <c r="F105" t="inlineStr">
        <is>
          <t>广东省深圳市龙华区民治街道龙光玖悦台</t>
        </is>
      </c>
      <c r="G105" t="inlineStr">
        <is>
          <t>日间巡查</t>
        </is>
      </c>
      <c r="H105" t="inlineStr">
        <is>
          <t>程磊</t>
        </is>
      </c>
      <c r="I105" t="inlineStr">
        <is>
          <t>13316950043</t>
        </is>
      </c>
      <c r="K105" t="inlineStr">
        <is>
          <t>33</t>
        </is>
      </c>
      <c r="L105" t="inlineStr">
        <is>
          <t>3</t>
        </is>
      </c>
      <c r="M105" t="inlineStr">
        <is>
          <t>1.缺少可回收物收集容器。</t>
        </is>
      </c>
      <c r="N105" t="inlineStr">
        <is>
          <t>1.1: 设置集中分类投放点，摆放可回收物、厨余垃圾、其他垃圾三类收集容器。（6分） (-2)
1.5: 分类标志完整、正确、清晰，各类垃圾收集容器外罩和内桶的颜色正确。（4分） (-2)
1.16: 禁止通过捆绑、卡挡或上锁等方式封闭或遮挡投放口。（4分） (-2)</t>
        </is>
      </c>
      <c r="O105">
        <f>HYPERLINK("https://yueling-buddy.github.io/xxr-inspection-album/weeks/2026-09-03/venue/v-%E5%B9%BF%E4%B8%9C%E7%9C%81%E6%B7%B1%E5%9C%B3%E5%B8%82%E9%BE%99%E5%8D%8E%E5%8C%BA%E6%B0%91%E6%B2%BB%E8%A1%97%E9%81%93%E9%BE%99%E5%85%89%E7%8E%96%E6%82%A6%E5%8F%B0_%E9%BE%99%E5%85%89%E7%8E%96%E6%82%A6%E5%8F%B0.html","查看证据(3项/3张)")</f>
        <v/>
      </c>
      <c r="P105" t="inlineStr">
        <is>
          <t>94.0</t>
        </is>
      </c>
      <c r="Q105" t="inlineStr">
        <is>
          <t>是</t>
        </is>
      </c>
      <c r="R105" t="inlineStr">
        <is>
          <t>处理进行中</t>
        </is>
      </c>
      <c r="S105" t="inlineStr">
        <is>
          <t>处理人处理</t>
        </is>
      </c>
      <c r="T105" t="inlineStr">
        <is>
          <t>2026-09-07</t>
        </is>
      </c>
      <c r="U105" t="inlineStr">
        <is>
          <t>2026-09-04</t>
        </is>
      </c>
      <c r="V105" t="inlineStr">
        <is>
          <t>2026-09-07 17:33:54.0</t>
        </is>
      </c>
      <c r="W105" t="inlineStr">
        <is>
          <t>12905.99</t>
        </is>
      </c>
      <c r="Y105" t="inlineStr">
        <is>
          <t>是</t>
        </is>
      </c>
      <c r="Z105" t="inlineStr">
        <is>
          <t>是</t>
        </is>
      </c>
    </row>
    <row r="106">
      <c r="A106" t="inlineStr">
        <is>
          <t>住宅小区</t>
        </is>
      </c>
      <c r="B106" t="inlineStr">
        <is>
          <t>长城里程家园</t>
        </is>
      </c>
      <c r="C106" t="inlineStr">
        <is>
          <t>龙华区</t>
        </is>
      </c>
      <c r="D106" t="inlineStr">
        <is>
          <t>民治街道</t>
        </is>
      </c>
      <c r="E106" t="inlineStr">
        <is>
          <t>龙塘社区</t>
        </is>
      </c>
      <c r="F106" t="inlineStr">
        <is>
          <t>龙华区民治街道龙塘社区长城里程家园</t>
        </is>
      </c>
      <c r="G106" t="inlineStr">
        <is>
          <t>夜间巡查</t>
        </is>
      </c>
      <c r="H106" t="inlineStr">
        <is>
          <t>程磊</t>
        </is>
      </c>
      <c r="I106" t="inlineStr">
        <is>
          <t>13316950043</t>
        </is>
      </c>
      <c r="K106" t="inlineStr">
        <is>
          <t>33</t>
        </is>
      </c>
      <c r="L106" t="inlineStr">
        <is>
          <t>3</t>
        </is>
      </c>
      <c r="M106" t="inlineStr">
        <is>
          <t>1.摄像头缺失。</t>
        </is>
      </c>
      <c r="N106" t="inlineStr">
        <is>
          <t>1.15: 投放点均安装具备AI识别功能的视频监控设备，监控视野保持在合理角度。（4分） (-2)
1.17: 转运桶应在黄线划定区域内摆放整齐并保持全天关闭（作业状态除外），禁止罩外摆桶供居民投放。（6分） (-2)
1.18: 禁止在楼层、地面或车库等设置分散式垃圾收集容器。（4分） (-4)</t>
        </is>
      </c>
      <c r="O106">
        <f>HYPERLINK("https://yueling-buddy.github.io/xxr-inspection-album/weeks/2026-09-03/venue/v-%E9%BE%99%E5%8D%8E%E5%8C%BA%E6%B0%91%E6%B2%BB%E8%A1%97%E9%81%93%E9%BE%99%E5%A1%98%E7%A4%BE%E5%8C%BA%E9%95%BF%E5%9F%8E%E9%87%8C%E7%A8%8B%E5%AE%B6%E5%9B%AD_%E9%95%BF%E5%9F%8E%E9%87%8C%E7%A8%8B%E5%AE%B6%E5%9B%AD.html","查看证据(3项/4张)")</f>
        <v/>
      </c>
      <c r="P106" t="inlineStr">
        <is>
          <t>92.0</t>
        </is>
      </c>
      <c r="Q106" t="inlineStr">
        <is>
          <t>是</t>
        </is>
      </c>
      <c r="R106" t="inlineStr">
        <is>
          <t>处理进行中</t>
        </is>
      </c>
      <c r="S106" t="inlineStr">
        <is>
          <t>处理人处理</t>
        </is>
      </c>
      <c r="T106" t="inlineStr">
        <is>
          <t>2026-09-07</t>
        </is>
      </c>
      <c r="U106" t="inlineStr">
        <is>
          <t>2026-09-04</t>
        </is>
      </c>
      <c r="V106" t="inlineStr">
        <is>
          <t>2026-09-07 17:34:01.0</t>
        </is>
      </c>
      <c r="W106" t="inlineStr">
        <is>
          <t>12773.94</t>
        </is>
      </c>
      <c r="Y106" t="inlineStr">
        <is>
          <t>是</t>
        </is>
      </c>
      <c r="Z106" t="inlineStr">
        <is>
          <t>是</t>
        </is>
      </c>
    </row>
    <row r="107">
      <c r="A107" t="inlineStr">
        <is>
          <t>住宅小区</t>
        </is>
      </c>
      <c r="B107" t="inlineStr">
        <is>
          <t>远景家园</t>
        </is>
      </c>
      <c r="C107" t="inlineStr">
        <is>
          <t>龙华区</t>
        </is>
      </c>
      <c r="D107" t="inlineStr">
        <is>
          <t>民治街道</t>
        </is>
      </c>
      <c r="E107" t="inlineStr">
        <is>
          <t>龙塘社区</t>
        </is>
      </c>
      <c r="F107" t="inlineStr">
        <is>
          <t>龙华区民治街道龙塘社区远景家园</t>
        </is>
      </c>
      <c r="G107" t="inlineStr">
        <is>
          <t>夜间巡查</t>
        </is>
      </c>
      <c r="H107" t="inlineStr">
        <is>
          <t>程磊</t>
        </is>
      </c>
      <c r="I107" t="inlineStr">
        <is>
          <t>13316950043</t>
        </is>
      </c>
      <c r="K107" t="inlineStr">
        <is>
          <t>34</t>
        </is>
      </c>
      <c r="L107" t="inlineStr">
        <is>
          <t>2</t>
        </is>
      </c>
      <c r="N107" t="inlineStr">
        <is>
          <t>1.9: 各设施齐全完好，摆放整齐有序，使用功能正常，没有严重破损、陈旧问题，不得拆除投放口盖板支撑杆。（6分） (-2)
1.17: 转运桶应在黄线划定区域内摆放整齐并保持全天关闭（作业状态除外），禁止罩外摆桶供居民投放。（6分） (-2)</t>
        </is>
      </c>
      <c r="O107">
        <f>HYPERLINK("https://yueling-buddy.github.io/xxr-inspection-album/weeks/2026-09-03/venue/v-%E9%BE%99%E5%8D%8E%E5%8C%BA%E6%B0%91%E6%B2%BB%E8%A1%97%E9%81%93%E9%BE%99%E5%A1%98%E7%A4%BE%E5%8C%BA%E8%BF%9C%E6%99%AF%E5%AE%B6%E5%9B%AD_%E8%BF%9C%E6%99%AF%E5%AE%B6%E5%9B%AD.html","查看证据(2项/2张)")</f>
        <v/>
      </c>
      <c r="P107" t="inlineStr">
        <is>
          <t>96.0</t>
        </is>
      </c>
      <c r="Q107" t="inlineStr">
        <is>
          <t>是</t>
        </is>
      </c>
      <c r="R107" t="inlineStr">
        <is>
          <t>处理进行中</t>
        </is>
      </c>
      <c r="S107" t="inlineStr">
        <is>
          <t>处理人处理</t>
        </is>
      </c>
      <c r="T107" t="inlineStr">
        <is>
          <t>2026-09-07</t>
        </is>
      </c>
      <c r="U107" t="inlineStr">
        <is>
          <t>2026-09-04</t>
        </is>
      </c>
      <c r="V107" t="inlineStr">
        <is>
          <t>2026-09-07 17:34:39.0</t>
        </is>
      </c>
      <c r="W107" t="inlineStr">
        <is>
          <t>12795.02</t>
        </is>
      </c>
      <c r="Y107" t="inlineStr">
        <is>
          <t>否</t>
        </is>
      </c>
      <c r="Z107" t="inlineStr">
        <is>
          <t>是</t>
        </is>
      </c>
    </row>
    <row r="108">
      <c r="A108" t="inlineStr">
        <is>
          <t>住宅小区</t>
        </is>
      </c>
      <c r="B108" t="inlineStr">
        <is>
          <t>城市立方花园（绿景大公馆）</t>
        </is>
      </c>
      <c r="C108" t="inlineStr">
        <is>
          <t>龙岗区</t>
        </is>
      </c>
      <c r="D108" t="inlineStr">
        <is>
          <t>龙城街道</t>
        </is>
      </c>
      <c r="E108" t="inlineStr">
        <is>
          <t>爱联社区</t>
        </is>
      </c>
      <c r="F108" t="inlineStr">
        <is>
          <t>深圳市龙岗区黄阁路6号</t>
        </is>
      </c>
      <c r="G108" t="inlineStr">
        <is>
          <t>日间巡查</t>
        </is>
      </c>
      <c r="H108" t="inlineStr">
        <is>
          <t>陈运初</t>
        </is>
      </c>
      <c r="I108" t="inlineStr">
        <is>
          <t>13714739365</t>
        </is>
      </c>
      <c r="K108" t="inlineStr">
        <is>
          <t>33</t>
        </is>
      </c>
      <c r="L108" t="inlineStr">
        <is>
          <t>3</t>
        </is>
      </c>
      <c r="N108" t="inlineStr">
        <is>
          <t>1.14: 各类垃圾及时清运，投放点及其周围环境干净整洁，没有垃圾满溢、暴露垃圾、杂物堆放、严重积水或明显异味等问题。（6分） (-2)
2.2: 设置消防设施，使用功能正常，取用方便。（2分） (-2)
4.1: 设备外观应使用“深i回收”标识，并公示服务单位、服务电话、回收品类、回收价格等基本信息，回收电话真实有效。（1分） (-1)</t>
        </is>
      </c>
      <c r="O108">
        <f>HYPERLINK("https://yueling-buddy.github.io/xxr-inspection-album/weeks/2026-09-03/venue/v-%E6%B7%B1%E5%9C%B3%E5%B8%82%E9%BE%99%E5%B2%97%E5%8C%BA%E9%BB%84%E9%98%81%E8%B7%AF6%E5%8F%B7_%E5%9F%8E%E5%B8%82%E7%AB%8B%E6%96%B9%E8%8A%B1%E5%9B%AD_%E7%BB%BF%E6%99%AF%E5%A4%A7%E5%85%AC%E9%A6%86_.html","查看证据(3项/4张)")</f>
        <v/>
      </c>
      <c r="P108" t="inlineStr">
        <is>
          <t>95.0</t>
        </is>
      </c>
      <c r="Q108" t="inlineStr">
        <is>
          <t>是</t>
        </is>
      </c>
      <c r="R108" t="inlineStr">
        <is>
          <t>处理进行中</t>
        </is>
      </c>
      <c r="S108" t="inlineStr">
        <is>
          <t>处理人处理</t>
        </is>
      </c>
      <c r="T108" t="inlineStr">
        <is>
          <t>2026-09-07</t>
        </is>
      </c>
      <c r="U108" t="inlineStr">
        <is>
          <t>2026-09-06</t>
        </is>
      </c>
      <c r="V108" t="inlineStr">
        <is>
          <t>2026-09-07 17:34:43.0</t>
        </is>
      </c>
      <c r="W108" t="inlineStr">
        <is>
          <t>14665.98</t>
        </is>
      </c>
      <c r="Y108" t="inlineStr">
        <is>
          <t>是</t>
        </is>
      </c>
      <c r="Z108" t="inlineStr">
        <is>
          <t>否</t>
        </is>
      </c>
    </row>
    <row r="109">
      <c r="A109" t="inlineStr">
        <is>
          <t>住宅小区</t>
        </is>
      </c>
      <c r="B109" t="inlineStr">
        <is>
          <t>中森双子座公馆</t>
        </is>
      </c>
      <c r="C109" t="inlineStr">
        <is>
          <t>龙岗区</t>
        </is>
      </c>
      <c r="D109" t="inlineStr">
        <is>
          <t>龙城街道</t>
        </is>
      </c>
      <c r="E109" t="inlineStr">
        <is>
          <t>爱联社区</t>
        </is>
      </c>
      <c r="F109" t="inlineStr">
        <is>
          <t>深圳市龙岗区龙城沙园路与配套二路交叉路口往东南约100米(阳光天健城东南侧约50米)</t>
        </is>
      </c>
      <c r="G109" t="inlineStr">
        <is>
          <t>日间巡查</t>
        </is>
      </c>
      <c r="H109" t="inlineStr">
        <is>
          <t>陈运初</t>
        </is>
      </c>
      <c r="I109" t="inlineStr">
        <is>
          <t>13714739365</t>
        </is>
      </c>
      <c r="K109" t="inlineStr">
        <is>
          <t>34</t>
        </is>
      </c>
      <c r="L109" t="inlineStr">
        <is>
          <t>2</t>
        </is>
      </c>
      <c r="N109" t="inlineStr">
        <is>
          <t>1.9: 各设施齐全完好，摆放整齐有序，使用功能正常，没有严重破损、陈旧问题，不得拆除投放口盖板支撑杆。（6分） (-2)
1.17: 转运桶应在黄线划定区域内摆放整齐并保持全天关闭（作业状态除外），禁止罩外摆桶供居民投放。（6分） (-2)</t>
        </is>
      </c>
      <c r="O109">
        <f>HYPERLINK("https://yueling-buddy.github.io/xxr-inspection-album/weeks/2026-09-03/venue/v-%E6%B7%B1%E5%9C%B3%E5%B8%82%E9%BE%99%E5%B2%97%E5%8C%BA%E9%BE%99%E5%9F%8E%E6%B2%99%E5%9B%AD%E8%B7%AF%E4%B8%8E%E9%85%8D%E5%A5%97%E4%BA%8C%E8%B7%AF%E4%BA%A4%E5%8F%89%E8%B7%AF%E5%8F%A3%E5%BE%80%E4%B8%9C%E5%8D%97%E7%BA%A6100%E7%B1%B3_%E9%98%B3%E5%85%89%E5%A4%A9%E5%81%A5%E5%9F%8E%E4%B8%9C%E5%8D%97%E4%BE%A7%E7%BA%A650%E7%B1%B3_%E4%B8%AD%E6%A3%AE%E5%8F%8C%E5%AD%90%E5%BA%A7%E5%85%AC%E9%A6%86.html","查看证据(2项/2张)")</f>
        <v/>
      </c>
      <c r="P109" t="inlineStr">
        <is>
          <t>96.0</t>
        </is>
      </c>
      <c r="Q109" t="inlineStr">
        <is>
          <t>是</t>
        </is>
      </c>
      <c r="R109" t="inlineStr">
        <is>
          <t>处理进行中</t>
        </is>
      </c>
      <c r="S109" t="inlineStr">
        <is>
          <t>处理人处理</t>
        </is>
      </c>
      <c r="T109" t="inlineStr">
        <is>
          <t>2026-09-07</t>
        </is>
      </c>
      <c r="U109" t="inlineStr">
        <is>
          <t>2026-09-06</t>
        </is>
      </c>
      <c r="V109" t="inlineStr">
        <is>
          <t>2026-09-07 17:34:47.0</t>
        </is>
      </c>
      <c r="W109" t="inlineStr">
        <is>
          <t>9558.18</t>
        </is>
      </c>
      <c r="Y109" t="inlineStr">
        <is>
          <t>否</t>
        </is>
      </c>
      <c r="Z109" t="inlineStr">
        <is>
          <t>是</t>
        </is>
      </c>
    </row>
    <row r="110">
      <c r="A110" t="inlineStr">
        <is>
          <t>餐饮场所</t>
        </is>
      </c>
      <c r="B110" t="inlineStr">
        <is>
          <t>华记农家菜</t>
        </is>
      </c>
      <c r="C110" t="inlineStr">
        <is>
          <t>龙岗区</t>
        </is>
      </c>
      <c r="D110" t="inlineStr">
        <is>
          <t>龙城街道</t>
        </is>
      </c>
      <c r="E110" t="inlineStr">
        <is>
          <t>爱联社区</t>
        </is>
      </c>
      <c r="F110" t="inlineStr">
        <is>
          <t>爱联社区前进商业广场</t>
        </is>
      </c>
      <c r="G110" t="inlineStr">
        <is>
          <t>日间巡查</t>
        </is>
      </c>
      <c r="H110" t="inlineStr">
        <is>
          <t>陈运初</t>
        </is>
      </c>
      <c r="I110" t="inlineStr">
        <is>
          <t>13714739365</t>
        </is>
      </c>
      <c r="K110" t="inlineStr">
        <is>
          <t>9</t>
        </is>
      </c>
      <c r="L110" t="inlineStr">
        <is>
          <t>2</t>
        </is>
      </c>
      <c r="N110" t="inlineStr">
        <is>
          <t>1.1: 后厨区摆放可回收物、厨余垃圾、其他垃圾收集容器。（6分） (-6)
1.3: 各类收集容器的分类标志完整、正确、清晰。 （18分） (-3)</t>
        </is>
      </c>
      <c r="O110">
        <f>HYPERLINK("https://yueling-buddy.github.io/xxr-inspection-album/weeks/2026-09-03/venue/v-%E7%88%B1%E8%81%94%E7%A4%BE%E5%8C%BA%E5%89%8D%E8%BF%9B%E5%95%86%E4%B8%9A%E5%B9%BF%E5%9C%BA_%E5%8D%8E%E8%AE%B0%E5%86%9C%E5%AE%B6%E8%8F%9C.html","查看证据(2项/3张)")</f>
        <v/>
      </c>
      <c r="P110" t="inlineStr">
        <is>
          <t>91.0</t>
        </is>
      </c>
      <c r="Q110" t="inlineStr">
        <is>
          <t>是</t>
        </is>
      </c>
      <c r="R110" t="inlineStr">
        <is>
          <t>处理进行中</t>
        </is>
      </c>
      <c r="S110" t="inlineStr">
        <is>
          <t>处理人处理</t>
        </is>
      </c>
      <c r="T110" t="inlineStr">
        <is>
          <t>2026-09-07</t>
        </is>
      </c>
      <c r="U110" t="inlineStr">
        <is>
          <t>2026-09-06</t>
        </is>
      </c>
      <c r="V110" t="inlineStr">
        <is>
          <t>2026-09-07 17:34:57.0</t>
        </is>
      </c>
      <c r="W110" t="inlineStr">
        <is>
          <t>5093.53</t>
        </is>
      </c>
      <c r="Y110" t="inlineStr">
        <is>
          <t>否</t>
        </is>
      </c>
      <c r="Z110" t="inlineStr">
        <is>
          <t>否</t>
        </is>
      </c>
    </row>
    <row r="111">
      <c r="A111" t="inlineStr">
        <is>
          <t>购物中心</t>
        </is>
      </c>
      <c r="B111" t="inlineStr">
        <is>
          <t>龙岗星河cocopark</t>
        </is>
      </c>
      <c r="C111" t="inlineStr">
        <is>
          <t>龙岗区</t>
        </is>
      </c>
      <c r="D111" t="inlineStr">
        <is>
          <t>龙城街道</t>
        </is>
      </c>
      <c r="E111" t="inlineStr">
        <is>
          <t>爱联社区</t>
        </is>
      </c>
      <c r="F111" t="inlineStr">
        <is>
          <t>广东省深圳市龙岗区龙城街道星河时代星河COCO Park(龙岗店)</t>
        </is>
      </c>
      <c r="G111" t="inlineStr">
        <is>
          <t>日间巡查</t>
        </is>
      </c>
      <c r="H111" t="inlineStr">
        <is>
          <t>陈运初</t>
        </is>
      </c>
      <c r="I111" t="inlineStr">
        <is>
          <t>13714739365</t>
        </is>
      </c>
      <c r="K111" t="inlineStr">
        <is>
          <t>14</t>
        </is>
      </c>
      <c r="L111" t="inlineStr">
        <is>
          <t>1</t>
        </is>
      </c>
      <c r="N111" t="inlineStr">
        <is>
          <t>1.6: 各类收集容器的分类标志完整、正确、清晰。 (-6)</t>
        </is>
      </c>
      <c r="O111">
        <f>HYPERLINK("https://yueling-buddy.github.io/xxr-inspection-album/weeks/2026-09-03/venue/v-%E5%B9%BF%E4%B8%9C%E7%9C%81%E6%B7%B1%E5%9C%B3%E5%B8%82%E9%BE%99%E5%B2%97%E5%8C%BA%E9%BE%99%E5%9F%8E%E8%A1%97%E9%81%93%E6%98%9F%E6%B2%B3%E6%97%B6%E4%BB%A3%E6%98%9F%E6%B2%B3COCO_Park_%E9%BE%99%E5%B2%97%E5%BA%97_%E9%BE%99%E5%B2%97%E6%98%9F%E6%B2%B3cocopark.html","查看证据(1项/7张)")</f>
        <v/>
      </c>
      <c r="P111" t="inlineStr">
        <is>
          <t>94.0</t>
        </is>
      </c>
      <c r="Q111" t="inlineStr">
        <is>
          <t>是</t>
        </is>
      </c>
      <c r="R111" t="inlineStr">
        <is>
          <t>处理进行中</t>
        </is>
      </c>
      <c r="S111" t="inlineStr">
        <is>
          <t>市级复查中</t>
        </is>
      </c>
      <c r="T111" t="inlineStr">
        <is>
          <t>2026-09-07</t>
        </is>
      </c>
      <c r="U111" t="inlineStr">
        <is>
          <t>2026-09-06</t>
        </is>
      </c>
      <c r="V111" t="inlineStr">
        <is>
          <t>2026-09-07 17:35:01.0</t>
        </is>
      </c>
      <c r="W111" t="inlineStr">
        <is>
          <t>1035.73</t>
        </is>
      </c>
      <c r="Y111" t="inlineStr">
        <is>
          <t>否</t>
        </is>
      </c>
      <c r="Z111" t="inlineStr">
        <is>
          <t>否</t>
        </is>
      </c>
    </row>
    <row r="112">
      <c r="A112" t="inlineStr">
        <is>
          <t>住宅小区</t>
        </is>
      </c>
      <c r="B112" t="inlineStr">
        <is>
          <t>翔龙御庭</t>
        </is>
      </c>
      <c r="C112" t="inlineStr">
        <is>
          <t>龙华区</t>
        </is>
      </c>
      <c r="D112" t="inlineStr">
        <is>
          <t>民治街道</t>
        </is>
      </c>
      <c r="E112" t="inlineStr">
        <is>
          <t>龙塘社区</t>
        </is>
      </c>
      <c r="F112" t="inlineStr">
        <is>
          <t>龙华区民治街道龙塘社区翔龙御庭</t>
        </is>
      </c>
      <c r="G112" t="inlineStr">
        <is>
          <t>夜间巡查</t>
        </is>
      </c>
      <c r="H112" t="inlineStr">
        <is>
          <t>程磊</t>
        </is>
      </c>
      <c r="I112" t="inlineStr">
        <is>
          <t>13316950043</t>
        </is>
      </c>
      <c r="K112" t="inlineStr">
        <is>
          <t>32</t>
        </is>
      </c>
      <c r="L112" t="inlineStr">
        <is>
          <t>4</t>
        </is>
      </c>
      <c r="M112" t="inlineStr">
        <is>
          <t>1.支撑杆损坏。</t>
        </is>
      </c>
      <c r="N112" t="inlineStr">
        <is>
          <t>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112">
        <f>HYPERLINK("https://yueling-buddy.github.io/xxr-inspection-album/weeks/2026-09-03/venue/v-%E9%BE%99%E5%8D%8E%E5%8C%BA%E6%B0%91%E6%B2%BB%E8%A1%97%E9%81%93%E9%BE%99%E5%A1%98%E7%A4%BE%E5%8C%BA%E7%BF%94%E9%BE%99%E5%BE%A1%E5%BA%AD_%E7%BF%94%E9%BE%99%E5%BE%A1%E5%BA%AD.html","查看证据(4项/5张)")</f>
        <v/>
      </c>
      <c r="P112" t="inlineStr">
        <is>
          <t>92.0</t>
        </is>
      </c>
      <c r="Q112" t="inlineStr">
        <is>
          <t>是</t>
        </is>
      </c>
      <c r="R112" t="inlineStr">
        <is>
          <t>处理进行中</t>
        </is>
      </c>
      <c r="S112" t="inlineStr">
        <is>
          <t>处理人处理</t>
        </is>
      </c>
      <c r="T112" t="inlineStr">
        <is>
          <t>2026-09-07</t>
        </is>
      </c>
      <c r="U112" t="inlineStr">
        <is>
          <t>2026-09-04</t>
        </is>
      </c>
      <c r="V112" t="inlineStr">
        <is>
          <t>2026-09-07 17:35:04.0</t>
        </is>
      </c>
      <c r="W112" t="inlineStr">
        <is>
          <t>12784.85</t>
        </is>
      </c>
      <c r="Y112" t="inlineStr">
        <is>
          <t>是</t>
        </is>
      </c>
      <c r="Z112" t="inlineStr">
        <is>
          <t>是</t>
        </is>
      </c>
    </row>
    <row r="113">
      <c r="A113" t="inlineStr">
        <is>
          <t>住宅小区</t>
        </is>
      </c>
      <c r="B113" t="inlineStr">
        <is>
          <t>创兴时代</t>
        </is>
      </c>
      <c r="C113" t="inlineStr">
        <is>
          <t>龙岗区</t>
        </is>
      </c>
      <c r="D113" t="inlineStr">
        <is>
          <t>坂田街道</t>
        </is>
      </c>
      <c r="E113" t="inlineStr">
        <is>
          <t>大发埔社区</t>
        </is>
      </c>
      <c r="F113" t="inlineStr">
        <is>
          <t>深圳市龙岗区坂田街道大发埔社区创兴时代</t>
        </is>
      </c>
      <c r="G113" t="inlineStr">
        <is>
          <t>日间巡查</t>
        </is>
      </c>
      <c r="H113" t="inlineStr">
        <is>
          <t>陈运初</t>
        </is>
      </c>
      <c r="I113" t="inlineStr">
        <is>
          <t>13714739365</t>
        </is>
      </c>
      <c r="K113" t="inlineStr">
        <is>
          <t>34</t>
        </is>
      </c>
      <c r="L113" t="inlineStr">
        <is>
          <t>2</t>
        </is>
      </c>
      <c r="N113" t="inlineStr">
        <is>
          <t>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113">
        <f>HYPERLINK("https://yueling-buddy.github.io/xxr-inspection-album/weeks/2026-09-03/venue/v-%E6%B7%B1%E5%9C%B3%E5%B8%82%E9%BE%99%E5%B2%97%E5%8C%BA%E5%9D%82%E7%94%B0%E8%A1%97%E9%81%93%E5%A4%A7%E5%8F%91%E5%9F%94%E7%A4%BE%E5%8C%BA%E5%88%9B%E5%85%B4%E6%97%B6%E4%BB%A3_%E5%88%9B%E5%85%B4%E6%97%B6%E4%BB%A3.html","查看证据(2项/2张)")</f>
        <v/>
      </c>
      <c r="P113" t="inlineStr">
        <is>
          <t>96.0</t>
        </is>
      </c>
      <c r="Q113" t="inlineStr">
        <is>
          <t>是</t>
        </is>
      </c>
      <c r="R113" t="inlineStr">
        <is>
          <t>处理进行中</t>
        </is>
      </c>
      <c r="S113" t="inlineStr">
        <is>
          <t>处理人处理</t>
        </is>
      </c>
      <c r="T113" t="inlineStr">
        <is>
          <t>2026-09-07</t>
        </is>
      </c>
      <c r="U113" t="inlineStr">
        <is>
          <t>2026-09-04</t>
        </is>
      </c>
      <c r="V113" t="inlineStr">
        <is>
          <t>2026-09-07 17:35:09.0</t>
        </is>
      </c>
      <c r="W113" t="inlineStr">
        <is>
          <t>8272.25</t>
        </is>
      </c>
      <c r="Y113" t="inlineStr">
        <is>
          <t>是</t>
        </is>
      </c>
      <c r="Z113" t="inlineStr">
        <is>
          <t>是</t>
        </is>
      </c>
    </row>
    <row r="114">
      <c r="A114" t="inlineStr">
        <is>
          <t>医疗机构</t>
        </is>
      </c>
      <c r="B114" t="inlineStr">
        <is>
          <t>深圳市龙岗区第二人民医院大发埔社区健康服务中心</t>
        </is>
      </c>
      <c r="C114" t="inlineStr">
        <is>
          <t>龙岗区</t>
        </is>
      </c>
      <c r="D114" t="inlineStr">
        <is>
          <t>坂田街道</t>
        </is>
      </c>
      <c r="E114" t="inlineStr">
        <is>
          <t>大发埔社区</t>
        </is>
      </c>
      <c r="F114" t="inlineStr">
        <is>
          <t>龙岗区坂田街道大发埔东村七巷11，12号一、二楼</t>
        </is>
      </c>
      <c r="G114" t="inlineStr">
        <is>
          <t>日间巡查</t>
        </is>
      </c>
      <c r="H114" t="inlineStr">
        <is>
          <t>陈运初</t>
        </is>
      </c>
      <c r="I114" t="inlineStr">
        <is>
          <t>13714739365</t>
        </is>
      </c>
      <c r="K114" t="inlineStr">
        <is>
          <t>14</t>
        </is>
      </c>
      <c r="L114" t="inlineStr">
        <is>
          <t>1</t>
        </is>
      </c>
      <c r="N114" t="inlineStr">
        <is>
          <t>1.6: 各类收集容器的分类标志完整、正确、清晰。 （9分） (-3)</t>
        </is>
      </c>
      <c r="O114">
        <f>HYPERLINK("https://yueling-buddy.github.io/xxr-inspection-album/weeks/2026-09-03/venue/v-%E9%BE%99%E5%B2%97%E5%8C%BA%E5%9D%82%E7%94%B0%E8%A1%97%E9%81%93%E5%A4%A7%E5%8F%91%E5%9F%94%E4%B8%9C%E6%9D%91%E4%B8%83%E5%B7%B711_12%E5%8F%B7%E4%B8%80_%E4%BA%8C%E6%A5%BC_%E6%B7%B1%E5%9C%B3%E5%B8%82%E9%BE%99%E5%B2%97%E5%8C%BA%E7%AC%AC%E4%BA%8C%E4%BA%BA%E6%B0%91%E5%8C%BB%E9%99%A2%E5%A4%A7%E5%8F%91%E5%9F%94%E7%A4%BE%E5%8C%BA%E5%81%A5%E5%BA%B7%E6%9C%8D%E5%8A%A1%E4%B8%AD%E5%BF%83.html","查看证据(1项/2张)")</f>
        <v/>
      </c>
      <c r="P114" t="inlineStr">
        <is>
          <t>97.0</t>
        </is>
      </c>
      <c r="Q114" t="inlineStr">
        <is>
          <t>是</t>
        </is>
      </c>
      <c r="R114" t="inlineStr">
        <is>
          <t>处理进行中</t>
        </is>
      </c>
      <c r="S114" t="inlineStr">
        <is>
          <t>处理人处理</t>
        </is>
      </c>
      <c r="T114" t="inlineStr">
        <is>
          <t>2026-09-07</t>
        </is>
      </c>
      <c r="U114" t="inlineStr">
        <is>
          <t>2026-09-04</t>
        </is>
      </c>
      <c r="V114" t="inlineStr">
        <is>
          <t>2026-09-07 17:35:12.0</t>
        </is>
      </c>
      <c r="W114" t="inlineStr">
        <is>
          <t>8700.61</t>
        </is>
      </c>
      <c r="Y114" t="inlineStr">
        <is>
          <t>否</t>
        </is>
      </c>
      <c r="Z114" t="inlineStr">
        <is>
          <t>否</t>
        </is>
      </c>
    </row>
    <row r="115">
      <c r="A115" t="inlineStr">
        <is>
          <t>住宅小区</t>
        </is>
      </c>
      <c r="B115" t="inlineStr">
        <is>
          <t>佳华领汇</t>
        </is>
      </c>
      <c r="C115" t="inlineStr">
        <is>
          <t>龙岗区</t>
        </is>
      </c>
      <c r="D115" t="inlineStr">
        <is>
          <t>坂田街道</t>
        </is>
      </c>
      <c r="E115" t="inlineStr">
        <is>
          <t>大发埔社区</t>
        </is>
      </c>
      <c r="F115" t="inlineStr">
        <is>
          <t>深圳市龙岗区吉华路与五和大道交汇处西南角</t>
        </is>
      </c>
      <c r="G115" t="inlineStr">
        <is>
          <t>日间巡查</t>
        </is>
      </c>
      <c r="H115" t="inlineStr">
        <is>
          <t>陈运初</t>
        </is>
      </c>
      <c r="I115" t="inlineStr">
        <is>
          <t>13714739365</t>
        </is>
      </c>
      <c r="K115" t="inlineStr">
        <is>
          <t>33</t>
        </is>
      </c>
      <c r="L115" t="inlineStr">
        <is>
          <t>3</t>
        </is>
      </c>
      <c r="N115" t="inlineStr">
        <is>
          <t>1.13: 收集容器外壁及内桶保持干净整洁，避免陈旧性脏污，收集容器内无积水。（4分） (-2)
1.14: 各类垃圾及时清运，投放点及其周围环境干净整洁，没有垃圾满溢、暴露垃圾、杂物堆放、严重积水或明显异味等问题。（6分） (-2)
2.4: 暂存点及其周围环境干净整洁，没有污水积聚或散落垃圾，禁止存放易燃易爆危险品，禁止违规接电、住人。（2分） (-2)</t>
        </is>
      </c>
      <c r="O115">
        <f>HYPERLINK("https://yueling-buddy.github.io/xxr-inspection-album/weeks/2026-09-03/venue/v-%E6%B7%B1%E5%9C%B3%E5%B8%82%E9%BE%99%E5%B2%97%E5%8C%BA%E5%90%89%E5%8D%8E%E8%B7%AF%E4%B8%8E%E4%BA%94%E5%92%8C%E5%A4%A7%E9%81%93%E4%BA%A4%E6%B1%87%E5%A4%84%E8%A5%BF%E5%8D%97%E8%A7%92_%E4%BD%B3%E5%8D%8E%E9%A2%86%E6%B1%87.html","查看证据(3项/4张)")</f>
        <v/>
      </c>
      <c r="P115" t="inlineStr">
        <is>
          <t>94.0</t>
        </is>
      </c>
      <c r="Q115" t="inlineStr">
        <is>
          <t>是</t>
        </is>
      </c>
      <c r="R115" t="inlineStr">
        <is>
          <t>处理进行中</t>
        </is>
      </c>
      <c r="S115" t="inlineStr">
        <is>
          <t>处理人处理</t>
        </is>
      </c>
      <c r="T115" t="inlineStr">
        <is>
          <t>2026-09-07</t>
        </is>
      </c>
      <c r="U115" t="inlineStr">
        <is>
          <t>2026-09-04</t>
        </is>
      </c>
      <c r="V115" t="inlineStr">
        <is>
          <t>2026-09-07 17:35:20.0</t>
        </is>
      </c>
      <c r="W115" t="inlineStr">
        <is>
          <t>8396.04</t>
        </is>
      </c>
      <c r="Y115" t="inlineStr">
        <is>
          <t>是</t>
        </is>
      </c>
      <c r="Z115" t="inlineStr">
        <is>
          <t>否</t>
        </is>
      </c>
    </row>
    <row r="116">
      <c r="A116" t="inlineStr">
        <is>
          <t>城中村</t>
        </is>
      </c>
      <c r="B116" t="inlineStr">
        <is>
          <t>西边新区</t>
        </is>
      </c>
      <c r="C116" t="inlineStr">
        <is>
          <t>宝安区</t>
        </is>
      </c>
      <c r="D116" t="inlineStr">
        <is>
          <t>沙井街道</t>
        </is>
      </c>
      <c r="E116" t="inlineStr">
        <is>
          <t>步涌社区</t>
        </is>
      </c>
      <c r="F116" t="inlineStr">
        <is>
          <t>深圳市宝安区西边新区</t>
        </is>
      </c>
      <c r="G116" t="inlineStr">
        <is>
          <t>日间巡查</t>
        </is>
      </c>
      <c r="H116" t="inlineStr">
        <is>
          <t>陈亮</t>
        </is>
      </c>
      <c r="I116" t="inlineStr">
        <is>
          <t>17302662710</t>
        </is>
      </c>
      <c r="K116" t="inlineStr">
        <is>
          <t>28</t>
        </is>
      </c>
      <c r="L116" t="inlineStr">
        <is>
          <t>4</t>
        </is>
      </c>
      <c r="N116" t="inlineStr">
        <is>
          <t>1.5: 分类标志完整、正确、清晰，各类垃圾收集容器外罩和内桶的颜色正确。（4分） (-4)
1.13: 收集容器外壁及内桶保持干净整洁，避免陈旧性脏污，收集容器内无积水。（6分） (-3)
1.16: 禁止通过捆绑、卡挡或上锁等方式封闭或遮挡投放口。（4分） (-2)
1.18: 禁止在楼层、地面或车库等设置分散式垃圾收集容器。（4分） (-5)</t>
        </is>
      </c>
      <c r="O116">
        <f>HYPERLINK("https://yueling-buddy.github.io/xxr-inspection-album/weeks/2026-09-03/venue/v-%E6%B7%B1%E5%9C%B3%E5%B8%82%E5%AE%9D%E5%AE%89%E5%8C%BA%E8%A5%BF%E8%BE%B9%E6%96%B0%E5%8C%BA_%E8%A5%BF%E8%BE%B9%E6%96%B0%E5%8C%BA.html","查看证据(4项/10张)")</f>
        <v/>
      </c>
      <c r="P116" t="inlineStr">
        <is>
          <t>86.0</t>
        </is>
      </c>
      <c r="Q116" t="inlineStr">
        <is>
          <t>是</t>
        </is>
      </c>
      <c r="R116" t="inlineStr">
        <is>
          <t>处理进行中</t>
        </is>
      </c>
      <c r="S116" t="inlineStr">
        <is>
          <t>市级复查中</t>
        </is>
      </c>
      <c r="T116" t="inlineStr">
        <is>
          <t>2026-09-07</t>
        </is>
      </c>
      <c r="U116" t="inlineStr">
        <is>
          <t>2026-09-04</t>
        </is>
      </c>
      <c r="V116" t="inlineStr">
        <is>
          <t>2026-09-07 17:36:14.0</t>
        </is>
      </c>
      <c r="W116" t="inlineStr">
        <is>
          <t>29900.03</t>
        </is>
      </c>
      <c r="Y116" t="inlineStr">
        <is>
          <t>是</t>
        </is>
      </c>
      <c r="Z116" t="inlineStr">
        <is>
          <t>是</t>
        </is>
      </c>
    </row>
    <row r="117">
      <c r="A117" t="inlineStr">
        <is>
          <t>城中村</t>
        </is>
      </c>
      <c r="B117" t="inlineStr">
        <is>
          <t>西边旧区</t>
        </is>
      </c>
      <c r="C117" t="inlineStr">
        <is>
          <t>宝安区</t>
        </is>
      </c>
      <c r="D117" t="inlineStr">
        <is>
          <t>沙井街道</t>
        </is>
      </c>
      <c r="E117" t="inlineStr">
        <is>
          <t>步涌社区</t>
        </is>
      </c>
      <c r="F117" t="inlineStr">
        <is>
          <t>广东省深圳市宝安区沙井街道西涌三路</t>
        </is>
      </c>
      <c r="G117" t="inlineStr">
        <is>
          <t>日间巡查</t>
        </is>
      </c>
      <c r="H117" t="inlineStr">
        <is>
          <t>陈亮</t>
        </is>
      </c>
      <c r="I117" t="inlineStr">
        <is>
          <t>17302662710</t>
        </is>
      </c>
      <c r="K117" t="inlineStr">
        <is>
          <t>29</t>
        </is>
      </c>
      <c r="L117" t="inlineStr">
        <is>
          <t>3</t>
        </is>
      </c>
      <c r="N117" t="inlineStr">
        <is>
          <t>1.6: 设置洗手设施。（2分） (-2)
1.17: 转运桶应在黄线划定区域内摆放整齐并保持全天关闭（作业状态除外），禁止罩外摆桶供居民投放。（6分） (-2)
1.18: 禁止在楼层、地面或车库等设置分散式垃圾收集容器。（4分） (-5)</t>
        </is>
      </c>
      <c r="O117">
        <f>HYPERLINK("https://yueling-buddy.github.io/xxr-inspection-album/weeks/2026-09-03/venue/v-%E5%B9%BF%E4%B8%9C%E7%9C%81%E6%B7%B1%E5%9C%B3%E5%B8%82%E5%AE%9D%E5%AE%89%E5%8C%BA%E6%B2%99%E4%BA%95%E8%A1%97%E9%81%93%E8%A5%BF%E6%B6%8C%E4%B8%89%E8%B7%AF_%E8%A5%BF%E8%BE%B9%E6%97%A7%E5%8C%BA.html","查看证据(3项/10张)")</f>
        <v/>
      </c>
      <c r="P117" t="inlineStr">
        <is>
          <t>91.0</t>
        </is>
      </c>
      <c r="Q117" t="inlineStr">
        <is>
          <t>是</t>
        </is>
      </c>
      <c r="R117" t="inlineStr">
        <is>
          <t>处理进行中</t>
        </is>
      </c>
      <c r="S117" t="inlineStr">
        <is>
          <t>市级复查中</t>
        </is>
      </c>
      <c r="T117" t="inlineStr">
        <is>
          <t>2026-09-07</t>
        </is>
      </c>
      <c r="U117" t="inlineStr">
        <is>
          <t>2026-09-04</t>
        </is>
      </c>
      <c r="V117" t="inlineStr">
        <is>
          <t>2026-09-07 17:36:17.0</t>
        </is>
      </c>
      <c r="W117" t="inlineStr">
        <is>
          <t>30099.75</t>
        </is>
      </c>
      <c r="Y117" t="inlineStr">
        <is>
          <t>是</t>
        </is>
      </c>
      <c r="Z117" t="inlineStr">
        <is>
          <t>是</t>
        </is>
      </c>
    </row>
    <row r="118">
      <c r="A118" t="inlineStr">
        <is>
          <t>城中村</t>
        </is>
      </c>
      <c r="B118" t="inlineStr">
        <is>
          <t>围后底小区</t>
        </is>
      </c>
      <c r="C118" t="inlineStr">
        <is>
          <t>宝安区</t>
        </is>
      </c>
      <c r="D118" t="inlineStr">
        <is>
          <t>沙井街道</t>
        </is>
      </c>
      <c r="E118" t="inlineStr">
        <is>
          <t>步涌社区</t>
        </is>
      </c>
      <c r="F118" t="inlineStr">
        <is>
          <t>宝安围后底小区</t>
        </is>
      </c>
      <c r="G118" t="inlineStr">
        <is>
          <t>日间巡查</t>
        </is>
      </c>
      <c r="H118" t="inlineStr">
        <is>
          <t>陈亮</t>
        </is>
      </c>
      <c r="I118" t="inlineStr">
        <is>
          <t>17302662710</t>
        </is>
      </c>
      <c r="K118" t="inlineStr">
        <is>
          <t>30</t>
        </is>
      </c>
      <c r="L118" t="inlineStr">
        <is>
          <t>2</t>
        </is>
      </c>
      <c r="N118" t="inlineStr">
        <is>
          <t>1.6: 设置洗手设施。（2分） (-1)
1.14: 各类垃圾及时清运，投放点及其周围环境干净整洁，没有垃圾满溢、暴露垃圾、杂物堆放、严重积水或明显异味等问题。（6分） (-2)</t>
        </is>
      </c>
      <c r="O118">
        <f>HYPERLINK("https://yueling-buddy.github.io/xxr-inspection-album/weeks/2026-09-03/venue/v-%E5%AE%9D%E5%AE%89%E5%9B%B4%E5%90%8E%E5%BA%95%E5%B0%8F%E5%8C%BA_%E5%9B%B4%E5%90%8E%E5%BA%95%E5%B0%8F%E5%8C%BA.html","查看证据(2项/5张)")</f>
        <v/>
      </c>
      <c r="P118" t="inlineStr">
        <is>
          <t>97.0</t>
        </is>
      </c>
      <c r="Q118" t="inlineStr">
        <is>
          <t>是</t>
        </is>
      </c>
      <c r="R118" t="inlineStr">
        <is>
          <t>处理进行中</t>
        </is>
      </c>
      <c r="S118" t="inlineStr">
        <is>
          <t>市级复查中</t>
        </is>
      </c>
      <c r="T118" t="inlineStr">
        <is>
          <t>2026-09-07</t>
        </is>
      </c>
      <c r="U118" t="inlineStr">
        <is>
          <t>2026-09-04</t>
        </is>
      </c>
      <c r="V118" t="inlineStr">
        <is>
          <t>2026-09-07 17:36:21.0</t>
        </is>
      </c>
      <c r="W118" t="inlineStr">
        <is>
          <t>30198.2</t>
        </is>
      </c>
      <c r="Y118" t="inlineStr">
        <is>
          <t>是</t>
        </is>
      </c>
      <c r="Z118" t="inlineStr">
        <is>
          <t>否</t>
        </is>
      </c>
    </row>
    <row r="119">
      <c r="A119" t="inlineStr">
        <is>
          <t>城中村</t>
        </is>
      </c>
      <c r="B119" t="inlineStr">
        <is>
          <t>菜园小区</t>
        </is>
      </c>
      <c r="C119" t="inlineStr">
        <is>
          <t>宝安区</t>
        </is>
      </c>
      <c r="D119" t="inlineStr">
        <is>
          <t>沙井街道</t>
        </is>
      </c>
      <c r="E119" t="inlineStr">
        <is>
          <t>步涌社区</t>
        </is>
      </c>
      <c r="F119" t="inlineStr">
        <is>
          <t>广东省深圳市宝安区沙井街道西涌三路50号信德·卧龙园</t>
        </is>
      </c>
      <c r="G119" t="inlineStr">
        <is>
          <t>日间巡查</t>
        </is>
      </c>
      <c r="H119" t="inlineStr">
        <is>
          <t>陈亮</t>
        </is>
      </c>
      <c r="I119" t="inlineStr">
        <is>
          <t>17302662710</t>
        </is>
      </c>
      <c r="K119" t="inlineStr">
        <is>
          <t>31</t>
        </is>
      </c>
      <c r="L119" t="inlineStr">
        <is>
          <t>1</t>
        </is>
      </c>
      <c r="N119" t="inlineStr">
        <is>
          <t>1.13: 收集容器外壁及内桶保持干净整洁，避免陈旧性脏污，收集容器内无积水。（6分） (-3)</t>
        </is>
      </c>
      <c r="O119">
        <f>HYPERLINK("https://yueling-buddy.github.io/xxr-inspection-album/weeks/2026-09-03/venue/v-%E5%B9%BF%E4%B8%9C%E7%9C%81%E6%B7%B1%E5%9C%B3%E5%B8%82%E5%AE%9D%E5%AE%89%E5%8C%BA%E6%B2%99%E4%BA%95%E8%A1%97%E9%81%93%E8%A5%BF%E6%B6%8C%E4%B8%89%E8%B7%AF50%E5%8F%B7%E4%BF%A1%E5%BE%B7_%E5%8D%A7%E9%BE%99%E5%9B%AD_%E8%8F%9C%E5%9B%AD%E5%B0%8F%E5%8C%BA.html","查看证据(1项/2张)")</f>
        <v/>
      </c>
      <c r="P119" t="inlineStr">
        <is>
          <t>97.0</t>
        </is>
      </c>
      <c r="Q119" t="inlineStr">
        <is>
          <t>是</t>
        </is>
      </c>
      <c r="R119" t="inlineStr">
        <is>
          <t>处理进行中</t>
        </is>
      </c>
      <c r="S119" t="inlineStr">
        <is>
          <t>市级复查中</t>
        </is>
      </c>
      <c r="T119" t="inlineStr">
        <is>
          <t>2026-09-07</t>
        </is>
      </c>
      <c r="U119" t="inlineStr">
        <is>
          <t>2026-09-04</t>
        </is>
      </c>
      <c r="V119" t="inlineStr">
        <is>
          <t>2026-09-07 17:36:54.0</t>
        </is>
      </c>
      <c r="W119" t="inlineStr">
        <is>
          <t>30021.72</t>
        </is>
      </c>
      <c r="Y119" t="inlineStr">
        <is>
          <t>是</t>
        </is>
      </c>
      <c r="Z119" t="inlineStr">
        <is>
          <t>否</t>
        </is>
      </c>
    </row>
    <row r="120">
      <c r="A120" t="inlineStr">
        <is>
          <t>城中村</t>
        </is>
      </c>
      <c r="B120" t="inlineStr">
        <is>
          <t>祠堂南北区</t>
        </is>
      </c>
      <c r="C120" t="inlineStr">
        <is>
          <t>宝安区</t>
        </is>
      </c>
      <c r="D120" t="inlineStr">
        <is>
          <t>沙井街道</t>
        </is>
      </c>
      <c r="E120" t="inlineStr">
        <is>
          <t>步涌社区</t>
        </is>
      </c>
      <c r="F120" t="inlineStr">
        <is>
          <t>深圳市宝安区沙井街道步涌社区祠堂南北区</t>
        </is>
      </c>
      <c r="G120" t="inlineStr">
        <is>
          <t>日间巡查</t>
        </is>
      </c>
      <c r="H120" t="inlineStr">
        <is>
          <t>陈亮</t>
        </is>
      </c>
      <c r="I120" t="inlineStr">
        <is>
          <t>17302662710</t>
        </is>
      </c>
      <c r="K120" t="inlineStr">
        <is>
          <t>29</t>
        </is>
      </c>
      <c r="L120" t="inlineStr">
        <is>
          <t>3</t>
        </is>
      </c>
      <c r="M120" t="inlineStr">
        <is>
          <t>1.可回收物内桶颜色错误</t>
        </is>
      </c>
      <c r="N120" t="inlineStr">
        <is>
          <t>1.5: 分类标志完整、正确、清晰，各类垃圾收集容器外罩和内桶的颜色正确。（4分） (-2)
1.6: 设置洗手设施。（2分） (-1)
1.9: 各设施齐全完好，摆放整齐有序，使用功能正常，没有严重破损、陈旧问题，不得拆除投放口盖板支撑杆。（6分） (-2)</t>
        </is>
      </c>
      <c r="O120">
        <f>HYPERLINK("https://yueling-buddy.github.io/xxr-inspection-album/weeks/2026-09-03/venue/v-%E6%B7%B1%E5%9C%B3%E5%B8%82%E5%AE%9D%E5%AE%89%E5%8C%BA%E6%B2%99%E4%BA%95%E8%A1%97%E9%81%93%E6%AD%A5%E6%B6%8C%E7%A4%BE%E5%8C%BA%E7%A5%A0%E5%A0%82%E5%8D%97%E5%8C%97%E5%8C%BA_%E7%A5%A0%E5%A0%82%E5%8D%97%E5%8C%97%E5%8C%BA.html","查看证据(3项/9张)")</f>
        <v/>
      </c>
      <c r="P120" t="inlineStr">
        <is>
          <t>95.0</t>
        </is>
      </c>
      <c r="Q120" t="inlineStr">
        <is>
          <t>是</t>
        </is>
      </c>
      <c r="R120" t="inlineStr">
        <is>
          <t>处理进行中</t>
        </is>
      </c>
      <c r="S120" t="inlineStr">
        <is>
          <t>市级复查中</t>
        </is>
      </c>
      <c r="T120" t="inlineStr">
        <is>
          <t>2026-09-07</t>
        </is>
      </c>
      <c r="U120" t="inlineStr">
        <is>
          <t>2026-09-04</t>
        </is>
      </c>
      <c r="V120" t="inlineStr">
        <is>
          <t>2026-09-07 17:37:03.0</t>
        </is>
      </c>
      <c r="W120" t="inlineStr">
        <is>
          <t>30571.37</t>
        </is>
      </c>
      <c r="Y120" t="inlineStr">
        <is>
          <t>是</t>
        </is>
      </c>
      <c r="Z120" t="inlineStr">
        <is>
          <t>否</t>
        </is>
      </c>
    </row>
    <row r="121">
      <c r="A121" t="inlineStr">
        <is>
          <t>城中村</t>
        </is>
      </c>
      <c r="B121" t="inlineStr">
        <is>
          <t>岗瓦埔小区</t>
        </is>
      </c>
      <c r="C121" t="inlineStr">
        <is>
          <t>宝安区</t>
        </is>
      </c>
      <c r="D121" t="inlineStr">
        <is>
          <t>沙井街道</t>
        </is>
      </c>
      <c r="E121" t="inlineStr">
        <is>
          <t>步涌社区</t>
        </is>
      </c>
      <c r="F121" t="inlineStr">
        <is>
          <t>广东省深圳市宝安区沙井街道振兴路29号</t>
        </is>
      </c>
      <c r="G121" t="inlineStr">
        <is>
          <t>日间巡查</t>
        </is>
      </c>
      <c r="H121" t="inlineStr">
        <is>
          <t>陈亮</t>
        </is>
      </c>
      <c r="I121" t="inlineStr">
        <is>
          <t>17302662710</t>
        </is>
      </c>
      <c r="K121" t="inlineStr">
        <is>
          <t>30</t>
        </is>
      </c>
      <c r="L121" t="inlineStr">
        <is>
          <t>2</t>
        </is>
      </c>
      <c r="N121" t="inlineStr">
        <is>
          <t>1.9: 各设施齐全完好，摆放整齐有序，使用功能正常，没有严重破损、陈旧问题，不得拆除投放口盖板支撑杆。（6分） (-2)
1.13: 收集容器外壁及内桶保持干净整洁，避免陈旧性脏污，收集容器内无积水。（6分） (-3)</t>
        </is>
      </c>
      <c r="O121">
        <f>HYPERLINK("https://yueling-buddy.github.io/xxr-inspection-album/weeks/2026-09-03/venue/v-%E5%B9%BF%E4%B8%9C%E7%9C%81%E6%B7%B1%E5%9C%B3%E5%B8%82%E5%AE%9D%E5%AE%89%E5%8C%BA%E6%B2%99%E4%BA%95%E8%A1%97%E9%81%93%E6%8C%AF%E5%85%B4%E8%B7%AF29%E5%8F%B7_%E5%B2%97%E7%93%A6%E5%9F%94%E5%B0%8F%E5%8C%BA.html","查看证据(2项/4张)")</f>
        <v/>
      </c>
      <c r="P121" t="inlineStr">
        <is>
          <t>95.0</t>
        </is>
      </c>
      <c r="Q121" t="inlineStr">
        <is>
          <t>是</t>
        </is>
      </c>
      <c r="R121" t="inlineStr">
        <is>
          <t>处理进行中</t>
        </is>
      </c>
      <c r="S121" t="inlineStr">
        <is>
          <t>市级复查中</t>
        </is>
      </c>
      <c r="T121" t="inlineStr">
        <is>
          <t>2026-09-07</t>
        </is>
      </c>
      <c r="U121" t="inlineStr">
        <is>
          <t>2026-09-04</t>
        </is>
      </c>
      <c r="V121" t="inlineStr">
        <is>
          <t>2026-09-07 17:37:07.0</t>
        </is>
      </c>
      <c r="W121" t="inlineStr">
        <is>
          <t>29603.71</t>
        </is>
      </c>
      <c r="Y121" t="inlineStr">
        <is>
          <t>是</t>
        </is>
      </c>
      <c r="Z121" t="inlineStr">
        <is>
          <t>否</t>
        </is>
      </c>
    </row>
    <row r="122">
      <c r="A122" t="inlineStr">
        <is>
          <t>城中村</t>
        </is>
      </c>
      <c r="B122" t="inlineStr">
        <is>
          <t>埔头桥小区</t>
        </is>
      </c>
      <c r="C122" t="inlineStr">
        <is>
          <t>宝安区</t>
        </is>
      </c>
      <c r="D122" t="inlineStr">
        <is>
          <t>沙井街道</t>
        </is>
      </c>
      <c r="E122" t="inlineStr">
        <is>
          <t>步涌社区</t>
        </is>
      </c>
      <c r="F122" t="inlineStr">
        <is>
          <t>深圳市宝安区沙井街道步涌社区埔头桥小区</t>
        </is>
      </c>
      <c r="G122" t="inlineStr">
        <is>
          <t>日间巡查</t>
        </is>
      </c>
      <c r="H122" t="inlineStr">
        <is>
          <t>陈亮</t>
        </is>
      </c>
      <c r="I122" t="inlineStr">
        <is>
          <t>17302662710</t>
        </is>
      </c>
      <c r="K122" t="inlineStr">
        <is>
          <t>30</t>
        </is>
      </c>
      <c r="L122" t="inlineStr">
        <is>
          <t>2</t>
        </is>
      </c>
      <c r="N122" t="inlineStr">
        <is>
          <t>1.9: 各设施齐全完好，摆放整齐有序，使用功能正常，没有严重破损、陈旧问题，不得拆除投放口盖板支撑杆。（6分） (-2)
1.15: 投放点均安装具备AI识别功能的视频监控设备，监控视野保持在合理角度。（4分） (-2)</t>
        </is>
      </c>
      <c r="O122">
        <f>HYPERLINK("https://yueling-buddy.github.io/xxr-inspection-album/weeks/2026-09-03/venue/v-%E6%B7%B1%E5%9C%B3%E5%B8%82%E5%AE%9D%E5%AE%89%E5%8C%BA%E6%B2%99%E4%BA%95%E8%A1%97%E9%81%93%E6%AD%A5%E6%B6%8C%E7%A4%BE%E5%8C%BA%E5%9F%94%E5%A4%B4%E6%A1%A5%E5%B0%8F%E5%8C%BA_%E5%9F%94%E5%A4%B4%E6%A1%A5%E5%B0%8F%E5%8C%BA.html","查看证据(2项/5张)")</f>
        <v/>
      </c>
      <c r="P122" t="inlineStr">
        <is>
          <t>96.0</t>
        </is>
      </c>
      <c r="Q122" t="inlineStr">
        <is>
          <t>是</t>
        </is>
      </c>
      <c r="R122" t="inlineStr">
        <is>
          <t>处理进行中</t>
        </is>
      </c>
      <c r="S122" t="inlineStr">
        <is>
          <t>市级复查中</t>
        </is>
      </c>
      <c r="T122" t="inlineStr">
        <is>
          <t>2026-09-07</t>
        </is>
      </c>
      <c r="U122" t="inlineStr">
        <is>
          <t>2026-09-04</t>
        </is>
      </c>
      <c r="V122" t="inlineStr">
        <is>
          <t>2026-09-07 17:37:11.0</t>
        </is>
      </c>
      <c r="W122" t="inlineStr">
        <is>
          <t>30635.45</t>
        </is>
      </c>
      <c r="Y122" t="inlineStr">
        <is>
          <t>是</t>
        </is>
      </c>
      <c r="Z122" t="inlineStr">
        <is>
          <t>否</t>
        </is>
      </c>
    </row>
    <row r="123">
      <c r="A123" t="inlineStr">
        <is>
          <t>城中村</t>
        </is>
      </c>
      <c r="B123" t="inlineStr">
        <is>
          <t>大园根</t>
        </is>
      </c>
      <c r="C123" t="inlineStr">
        <is>
          <t>宝安区</t>
        </is>
      </c>
      <c r="D123" t="inlineStr">
        <is>
          <t>沙井街道</t>
        </is>
      </c>
      <c r="E123" t="inlineStr">
        <is>
          <t>步涌社区</t>
        </is>
      </c>
      <c r="F123" t="inlineStr">
        <is>
          <t>深圳市宝安区沙井街道步涌社区大园根一路</t>
        </is>
      </c>
      <c r="G123" t="inlineStr">
        <is>
          <t>日间巡查</t>
        </is>
      </c>
      <c r="H123" t="inlineStr">
        <is>
          <t>陈亮</t>
        </is>
      </c>
      <c r="I123" t="inlineStr">
        <is>
          <t>17302662710</t>
        </is>
      </c>
      <c r="K123" t="inlineStr">
        <is>
          <t>31</t>
        </is>
      </c>
      <c r="L123" t="inlineStr">
        <is>
          <t>1</t>
        </is>
      </c>
      <c r="N123" t="inlineStr">
        <is>
          <t>1.13: 收集容器外壁及内桶保持干净整洁，避免陈旧性脏污，收集容器内无积水。（6分） (-3)</t>
        </is>
      </c>
      <c r="O123">
        <f>HYPERLINK("https://yueling-buddy.github.io/xxr-inspection-album/weeks/2026-09-03/venue/v-%E6%B7%B1%E5%9C%B3%E5%B8%82%E5%AE%9D%E5%AE%89%E5%8C%BA%E6%B2%99%E4%BA%95%E8%A1%97%E9%81%93%E6%AD%A5%E6%B6%8C%E7%A4%BE%E5%8C%BA%E5%A4%A7%E5%9B%AD%E6%A0%B9%E4%B8%80%E8%B7%AF_%E5%A4%A7%E5%9B%AD%E6%A0%B9.html","查看证据(1项/2张)")</f>
        <v/>
      </c>
      <c r="P123" t="inlineStr">
        <is>
          <t>97.0</t>
        </is>
      </c>
      <c r="Q123" t="inlineStr">
        <is>
          <t>是</t>
        </is>
      </c>
      <c r="R123" t="inlineStr">
        <is>
          <t>处理进行中</t>
        </is>
      </c>
      <c r="S123" t="inlineStr">
        <is>
          <t>市级复查中</t>
        </is>
      </c>
      <c r="T123" t="inlineStr">
        <is>
          <t>2026-09-07</t>
        </is>
      </c>
      <c r="U123" t="inlineStr">
        <is>
          <t>2026-09-04</t>
        </is>
      </c>
      <c r="V123" t="inlineStr">
        <is>
          <t>2026-09-07 17:37:14.0</t>
        </is>
      </c>
      <c r="W123" t="inlineStr">
        <is>
          <t>29624.69</t>
        </is>
      </c>
      <c r="Y123" t="inlineStr">
        <is>
          <t>是</t>
        </is>
      </c>
      <c r="Z123" t="inlineStr">
        <is>
          <t>否</t>
        </is>
      </c>
    </row>
    <row r="124">
      <c r="A124" t="inlineStr">
        <is>
          <t>住宅小区</t>
        </is>
      </c>
      <c r="B124" t="inlineStr">
        <is>
          <t>怡都大厦</t>
        </is>
      </c>
      <c r="C124" t="inlineStr">
        <is>
          <t>罗湖区</t>
        </is>
      </c>
      <c r="D124" t="inlineStr">
        <is>
          <t>南湖街道</t>
        </is>
      </c>
      <c r="E124" t="inlineStr">
        <is>
          <t>罗湖社区</t>
        </is>
      </c>
      <c r="F124" t="inlineStr">
        <is>
          <t>罗湖区南湖街道沿河南路1062号</t>
        </is>
      </c>
      <c r="G124" t="inlineStr">
        <is>
          <t>夜间巡查</t>
        </is>
      </c>
      <c r="H124" t="inlineStr">
        <is>
          <t>胡正负</t>
        </is>
      </c>
      <c r="I124" t="inlineStr">
        <is>
          <t>13723402248</t>
        </is>
      </c>
      <c r="K124" t="inlineStr">
        <is>
          <t>32</t>
        </is>
      </c>
      <c r="L124" t="inlineStr">
        <is>
          <t>4</t>
        </is>
      </c>
      <c r="N124" t="inlineStr">
        <is>
          <t>1.14: 各类垃圾及时清运，投放点及其周围环境干净整洁，没有垃圾满溢、暴露垃圾、杂物堆放、严重积水或明显异味等问题。（6分） (-2)
1.16: 禁止通过捆绑、卡挡或上锁等方式封闭或遮挡投放口。（4分） (-2)
1.17: 转运桶应在黄线划定区域内摆放整齐并保持全天关闭（作业状态除外），禁止罩外摆桶供居民投放。（6分） (-2)
2.2: 设置消防设施，使用功能正常，取用方便。（2分） (-2)</t>
        </is>
      </c>
      <c r="O124">
        <f>HYPERLINK("https://yueling-buddy.github.io/xxr-inspection-album/weeks/2026-09-03/venue/v-%E7%BD%97%E6%B9%96%E5%8C%BA%E5%8D%97%E6%B9%96%E8%A1%97%E9%81%93%E6%B2%BF%E6%B2%B3%E5%8D%97%E8%B7%AF1062%E5%8F%B7_%E6%80%A1%E9%83%BD%E5%A4%A7%E5%8E%A6.html","查看证据(4项/5张)")</f>
        <v/>
      </c>
      <c r="P124" t="inlineStr">
        <is>
          <t>92.0</t>
        </is>
      </c>
      <c r="Q124" t="inlineStr">
        <is>
          <t>是</t>
        </is>
      </c>
      <c r="R124" t="inlineStr">
        <is>
          <t>处理进行中</t>
        </is>
      </c>
      <c r="S124" t="inlineStr">
        <is>
          <t>处理人处理</t>
        </is>
      </c>
      <c r="T124" t="inlineStr">
        <is>
          <t>2026-09-07</t>
        </is>
      </c>
      <c r="U124" t="inlineStr">
        <is>
          <t>2026-09-04</t>
        </is>
      </c>
      <c r="V124" t="inlineStr">
        <is>
          <t>2026-09-07 17:37:25.0</t>
        </is>
      </c>
      <c r="W124" t="inlineStr">
        <is>
          <t>9346.16</t>
        </is>
      </c>
      <c r="Y124" t="inlineStr">
        <is>
          <t>是</t>
        </is>
      </c>
      <c r="Z124" t="inlineStr">
        <is>
          <t>是</t>
        </is>
      </c>
    </row>
    <row r="125">
      <c r="A125" t="inlineStr">
        <is>
          <t>住宅小区</t>
        </is>
      </c>
      <c r="B125" t="inlineStr">
        <is>
          <t>国旅宿舍</t>
        </is>
      </c>
      <c r="C125" t="inlineStr">
        <is>
          <t>罗湖区</t>
        </is>
      </c>
      <c r="D125" t="inlineStr">
        <is>
          <t>南湖街道</t>
        </is>
      </c>
      <c r="E125" t="inlineStr">
        <is>
          <t>罗湖社区</t>
        </is>
      </c>
      <c r="F125" t="inlineStr">
        <is>
          <t>广东省深圳市罗湖区南湖街道沿河南路1066号</t>
        </is>
      </c>
      <c r="G125" t="inlineStr">
        <is>
          <t>夜间巡查</t>
        </is>
      </c>
      <c r="H125" t="inlineStr">
        <is>
          <t>胡正负</t>
        </is>
      </c>
      <c r="I125" t="inlineStr">
        <is>
          <t>13723402248</t>
        </is>
      </c>
      <c r="K125" t="inlineStr">
        <is>
          <t>34</t>
        </is>
      </c>
      <c r="L125" t="inlineStr">
        <is>
          <t>2</t>
        </is>
      </c>
      <c r="N125" t="inlineStr">
        <is>
          <t>1.17: 转运桶应在黄线划定区域内摆放整齐并保持全天关闭（作业状态除外），禁止罩外摆桶供居民投放。（6分） (-2)
2.2: 设置消防设施，使用功能正常，取用方便。（2分） (-2)</t>
        </is>
      </c>
      <c r="O125">
        <f>HYPERLINK("https://yueling-buddy.github.io/xxr-inspection-album/weeks/2026-09-03/venue/v-%E5%B9%BF%E4%B8%9C%E7%9C%81%E6%B7%B1%E5%9C%B3%E5%B8%82%E7%BD%97%E6%B9%96%E5%8C%BA%E5%8D%97%E6%B9%96%E8%A1%97%E9%81%93%E6%B2%BF%E6%B2%B3%E5%8D%97%E8%B7%AF1066%E5%8F%B7_%E5%9B%BD%E6%97%85%E5%AE%BF%E8%88%8D.html","查看证据(2项/3张)")</f>
        <v/>
      </c>
      <c r="P125" t="inlineStr">
        <is>
          <t>96.0</t>
        </is>
      </c>
      <c r="Q125" t="inlineStr">
        <is>
          <t>是</t>
        </is>
      </c>
      <c r="R125" t="inlineStr">
        <is>
          <t>处理进行中</t>
        </is>
      </c>
      <c r="S125" t="inlineStr">
        <is>
          <t>处理人处理</t>
        </is>
      </c>
      <c r="T125" t="inlineStr">
        <is>
          <t>2026-09-07</t>
        </is>
      </c>
      <c r="U125" t="inlineStr">
        <is>
          <t>2026-09-04</t>
        </is>
      </c>
      <c r="V125" t="inlineStr">
        <is>
          <t>2026-09-07 17:37:29.0</t>
        </is>
      </c>
      <c r="W125" t="inlineStr">
        <is>
          <t>5740.04</t>
        </is>
      </c>
      <c r="Y125" t="inlineStr">
        <is>
          <t>是</t>
        </is>
      </c>
      <c r="Z125" t="inlineStr">
        <is>
          <t>是</t>
        </is>
      </c>
    </row>
    <row r="126">
      <c r="A126" t="inlineStr">
        <is>
          <t>住宅小区</t>
        </is>
      </c>
      <c r="B126" t="inlineStr">
        <is>
          <t>双城世纪大厦</t>
        </is>
      </c>
      <c r="C126" t="inlineStr">
        <is>
          <t>罗湖区</t>
        </is>
      </c>
      <c r="D126" t="inlineStr">
        <is>
          <t>南湖街道</t>
        </is>
      </c>
      <c r="E126" t="inlineStr">
        <is>
          <t>罗湖社区</t>
        </is>
      </c>
      <c r="F126" t="inlineStr">
        <is>
          <t>罗湖区南湖街道沿河南路1021号</t>
        </is>
      </c>
      <c r="G126" t="inlineStr">
        <is>
          <t>夜间巡查</t>
        </is>
      </c>
      <c r="H126" t="inlineStr">
        <is>
          <t>胡正负</t>
        </is>
      </c>
      <c r="I126" t="inlineStr">
        <is>
          <t>13723402248</t>
        </is>
      </c>
      <c r="K126" t="inlineStr">
        <is>
          <t>33</t>
        </is>
      </c>
      <c r="L126" t="inlineStr">
        <is>
          <t>3</t>
        </is>
      </c>
      <c r="M126" t="inlineStr">
        <is>
          <t>1.有害垃圾内桶存在明显积水</t>
        </is>
      </c>
      <c r="N126" t="inlineStr">
        <is>
          <t>1.13: 收集容器外壁及内桶保持干净整洁，避免陈旧性脏污，收集容器内无积水。（4分） (-2)
1.17: 转运桶应在黄线划定区域内摆放整齐并保持全天关闭（作业状态除外），禁止罩外摆桶供居民投放。（6分） (-2)
4.4: 设备及周边环境干净整洁，无垃圾满溢、暴露垃圾或杂物堆放等问题。（2分） (-2)</t>
        </is>
      </c>
      <c r="O126">
        <f>HYPERLINK("https://yueling-buddy.github.io/xxr-inspection-album/weeks/2026-09-03/venue/v-%E7%BD%97%E6%B9%96%E5%8C%BA%E5%8D%97%E6%B9%96%E8%A1%97%E9%81%93%E6%B2%BF%E6%B2%B3%E5%8D%97%E8%B7%AF1021%E5%8F%B7_%E5%8F%8C%E5%9F%8E%E4%B8%96%E7%BA%AA%E5%A4%A7%E5%8E%A6.html","查看证据(3项/3张)")</f>
        <v/>
      </c>
      <c r="P126" t="inlineStr">
        <is>
          <t>94.0</t>
        </is>
      </c>
      <c r="Q126" t="inlineStr">
        <is>
          <t>是</t>
        </is>
      </c>
      <c r="R126" t="inlineStr">
        <is>
          <t>处理进行中</t>
        </is>
      </c>
      <c r="S126" t="inlineStr">
        <is>
          <t>处理人处理</t>
        </is>
      </c>
      <c r="T126" t="inlineStr">
        <is>
          <t>2026-09-07</t>
        </is>
      </c>
      <c r="U126" t="inlineStr">
        <is>
          <t>2026-09-04</t>
        </is>
      </c>
      <c r="V126" t="inlineStr">
        <is>
          <t>2026-09-07 17:37:33.0</t>
        </is>
      </c>
      <c r="W126" t="inlineStr">
        <is>
          <t>657.41</t>
        </is>
      </c>
      <c r="Y126" t="inlineStr">
        <is>
          <t>是</t>
        </is>
      </c>
      <c r="Z126" t="inlineStr">
        <is>
          <t>是</t>
        </is>
      </c>
    </row>
    <row r="127">
      <c r="A127" t="inlineStr">
        <is>
          <t>住宅小区</t>
        </is>
      </c>
      <c r="B127" t="inlineStr">
        <is>
          <t>汇泰大厦</t>
        </is>
      </c>
      <c r="C127" t="inlineStr">
        <is>
          <t>罗湖区</t>
        </is>
      </c>
      <c r="D127" t="inlineStr">
        <is>
          <t>南湖街道</t>
        </is>
      </c>
      <c r="E127" t="inlineStr">
        <is>
          <t>罗湖社区</t>
        </is>
      </c>
      <c r="F127" t="inlineStr">
        <is>
          <t>罗湖区南湖街道沿河南路1025号</t>
        </is>
      </c>
      <c r="G127" t="inlineStr">
        <is>
          <t>夜间巡查</t>
        </is>
      </c>
      <c r="H127" t="inlineStr">
        <is>
          <t>胡正负</t>
        </is>
      </c>
      <c r="I127" t="inlineStr">
        <is>
          <t>13723402248</t>
        </is>
      </c>
      <c r="K127" t="inlineStr">
        <is>
          <t>33</t>
        </is>
      </c>
      <c r="L127" t="inlineStr">
        <is>
          <t>3</t>
        </is>
      </c>
      <c r="N127" t="inlineStr">
        <is>
          <t>1.5: 分类标志完整、正确、清晰，各类垃圾收集容器外罩和内桶的颜色正确。（4分） (-2)
2.3: 各类垃圾及时清运。（2分） (-2)
2.4: 暂存点及其周围环境干净整洁，没有污水积聚或散落垃圾，禁止存放易燃易爆危险品，禁止违规接电、住人。（2分） (-2)</t>
        </is>
      </c>
      <c r="O127">
        <f>HYPERLINK("https://yueling-buddy.github.io/xxr-inspection-album/weeks/2026-09-03/venue/v-%E7%BD%97%E6%B9%96%E5%8C%BA%E5%8D%97%E6%B9%96%E8%A1%97%E9%81%93%E6%B2%BF%E6%B2%B3%E5%8D%97%E8%B7%AF1025%E5%8F%B7_%E6%B1%87%E6%B3%B0%E5%A4%A7%E5%8E%A6.html","查看证据(3项/3张)")</f>
        <v/>
      </c>
      <c r="P127" t="inlineStr">
        <is>
          <t>94.0</t>
        </is>
      </c>
      <c r="Q127" t="inlineStr">
        <is>
          <t>是</t>
        </is>
      </c>
      <c r="R127" t="inlineStr">
        <is>
          <t>处理进行中</t>
        </is>
      </c>
      <c r="S127" t="inlineStr">
        <is>
          <t>处理人处理</t>
        </is>
      </c>
      <c r="T127" t="inlineStr">
        <is>
          <t>2026-09-07</t>
        </is>
      </c>
      <c r="U127" t="inlineStr">
        <is>
          <t>2026-09-04</t>
        </is>
      </c>
      <c r="V127" t="inlineStr">
        <is>
          <t>2026-09-07 17:37:36.0</t>
        </is>
      </c>
      <c r="W127" t="inlineStr">
        <is>
          <t>626.73</t>
        </is>
      </c>
      <c r="Y127" t="inlineStr">
        <is>
          <t>是</t>
        </is>
      </c>
      <c r="Z127" t="inlineStr">
        <is>
          <t>否</t>
        </is>
      </c>
    </row>
    <row r="128">
      <c r="A128" t="inlineStr">
        <is>
          <t>购物中心</t>
        </is>
      </c>
      <c r="B128" t="inlineStr">
        <is>
          <t>天虹数科商业股份有限公司坂田天虹商场</t>
        </is>
      </c>
      <c r="C128" t="inlineStr">
        <is>
          <t>龙岗区</t>
        </is>
      </c>
      <c r="D128" t="inlineStr">
        <is>
          <t>坂田街道</t>
        </is>
      </c>
      <c r="E128" t="inlineStr">
        <is>
          <t>大发埔社区</t>
        </is>
      </c>
      <c r="F128" t="inlineStr">
        <is>
          <t>深圳市龙岗区坂田街道吉华路696号坂田天虹商场</t>
        </is>
      </c>
      <c r="G128" t="inlineStr">
        <is>
          <t>日间巡查</t>
        </is>
      </c>
      <c r="H128" t="inlineStr">
        <is>
          <t>陈运初</t>
        </is>
      </c>
      <c r="I128" t="inlineStr">
        <is>
          <t>13714739365</t>
        </is>
      </c>
      <c r="K128" t="inlineStr">
        <is>
          <t>14</t>
        </is>
      </c>
      <c r="L128" t="inlineStr">
        <is>
          <t>1</t>
        </is>
      </c>
      <c r="M128" t="inlineStr">
        <is>
          <t>1.其他垃圾英文标识错误，可回收物标识不规范</t>
        </is>
      </c>
      <c r="N128" t="inlineStr">
        <is>
          <t>1.6: 各类收集容器的分类标志完整、正确、清晰。 (-6)</t>
        </is>
      </c>
      <c r="O128">
        <f>HYPERLINK("https://yueling-buddy.github.io/xxr-inspection-album/weeks/2026-09-03/venue/v-%E6%B7%B1%E5%9C%B3%E5%B8%82%E9%BE%99%E5%B2%97%E5%8C%BA%E5%9D%82%E7%94%B0%E8%A1%97%E9%81%93%E5%90%89%E5%8D%8E%E8%B7%AF696%E5%8F%B7%E5%9D%82%E7%94%B0%E5%A4%A9%E8%99%B9%E5%95%86%E5%9C%BA_%E5%A4%A9%E8%99%B9%E6%95%B0%E7%A7%91%E5%95%86%E4%B8%9A%E8%82%A1%E4%BB%BD%E6%9C%89%E9%99%90%E5%85%AC%E5%8F%B8%E5%9D%82%E7%94%B0%E5%A4%A9%E8%99%B9%E5%95%86%E5%9C%BA.html","查看证据(1项/3张)")</f>
        <v/>
      </c>
      <c r="P128" t="inlineStr">
        <is>
          <t>94.0</t>
        </is>
      </c>
      <c r="Q128" t="inlineStr">
        <is>
          <t>是</t>
        </is>
      </c>
      <c r="R128" t="inlineStr">
        <is>
          <t>处理进行中</t>
        </is>
      </c>
      <c r="S128" t="inlineStr">
        <is>
          <t>处理人处理</t>
        </is>
      </c>
      <c r="T128" t="inlineStr">
        <is>
          <t>2026-09-07</t>
        </is>
      </c>
      <c r="U128" t="inlineStr">
        <is>
          <t>2026-09-04</t>
        </is>
      </c>
      <c r="V128" t="inlineStr">
        <is>
          <t>2026-09-07 17:37:46.0</t>
        </is>
      </c>
      <c r="W128" t="inlineStr">
        <is>
          <t>8547.41</t>
        </is>
      </c>
      <c r="Y128" t="inlineStr">
        <is>
          <t>否</t>
        </is>
      </c>
      <c r="Z128" t="inlineStr">
        <is>
          <t>否</t>
        </is>
      </c>
    </row>
    <row r="129">
      <c r="A129" t="inlineStr">
        <is>
          <t>城中村</t>
        </is>
      </c>
      <c r="B129" t="inlineStr">
        <is>
          <t>龙塘村</t>
        </is>
      </c>
      <c r="C129" t="inlineStr">
        <is>
          <t>龙华区</t>
        </is>
      </c>
      <c r="D129" t="inlineStr">
        <is>
          <t>民治街道</t>
        </is>
      </c>
      <c r="E129" t="inlineStr">
        <is>
          <t>龙塘社区</t>
        </is>
      </c>
      <c r="F129" t="inlineStr">
        <is>
          <t>龙华区民治街道龙塘社区龙塘村</t>
        </is>
      </c>
      <c r="G129" t="inlineStr">
        <is>
          <t>日间巡查</t>
        </is>
      </c>
      <c r="H129" t="inlineStr">
        <is>
          <t>程磊</t>
        </is>
      </c>
      <c r="I129" t="inlineStr">
        <is>
          <t>13316950043</t>
        </is>
      </c>
      <c r="K129" t="inlineStr">
        <is>
          <t>27</t>
        </is>
      </c>
      <c r="L129" t="inlineStr">
        <is>
          <t>5</t>
        </is>
      </c>
      <c r="N129" t="inlineStr">
        <is>
          <t>1.6: 设置洗手设施。（2分） (-2)
1.9: 各设施齐全完好，摆放整齐有序，使用功能正常，没有严重破损、陈旧问题，不得拆除投放口盖板支撑杆。（6分） (-2)
1.12: 桶柜式垃圾投放点柜门应全天保持关闭（作业状态除外）。（4分）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t>
        </is>
      </c>
      <c r="O129">
        <f>HYPERLINK("https://yueling-buddy.github.io/xxr-inspection-album/weeks/2026-09-03/venue/v-%E9%BE%99%E5%8D%8E%E5%8C%BA%E6%B0%91%E6%B2%BB%E8%A1%97%E9%81%93%E9%BE%99%E5%A1%98%E7%A4%BE%E5%8C%BA%E9%BE%99%E5%A1%98%E6%9D%91_%E9%BE%99%E5%A1%98%E6%9D%91.html","查看证据(5项/9张)")</f>
        <v/>
      </c>
      <c r="P129" t="inlineStr">
        <is>
          <t>88.0</t>
        </is>
      </c>
      <c r="Q129" t="inlineStr">
        <is>
          <t>是</t>
        </is>
      </c>
      <c r="R129" t="inlineStr">
        <is>
          <t>处理进行中</t>
        </is>
      </c>
      <c r="S129" t="inlineStr">
        <is>
          <t>处理人处理</t>
        </is>
      </c>
      <c r="T129" t="inlineStr">
        <is>
          <t>2026-09-07</t>
        </is>
      </c>
      <c r="U129" t="inlineStr">
        <is>
          <t>2026-09-04</t>
        </is>
      </c>
      <c r="V129" t="inlineStr">
        <is>
          <t>2026-09-07 17:39:32.0</t>
        </is>
      </c>
      <c r="W129" t="inlineStr">
        <is>
          <t>857.32</t>
        </is>
      </c>
      <c r="Y129" t="inlineStr">
        <is>
          <t>是</t>
        </is>
      </c>
      <c r="Z129" t="inlineStr">
        <is>
          <t>是</t>
        </is>
      </c>
    </row>
    <row r="130">
      <c r="A130" t="inlineStr">
        <is>
          <t>城中村</t>
        </is>
      </c>
      <c r="B130" t="inlineStr">
        <is>
          <t>龙塘新村</t>
        </is>
      </c>
      <c r="C130" t="inlineStr">
        <is>
          <t>龙华区</t>
        </is>
      </c>
      <c r="D130" t="inlineStr">
        <is>
          <t>民治街道</t>
        </is>
      </c>
      <c r="E130" t="inlineStr">
        <is>
          <t>龙塘社区</t>
        </is>
      </c>
      <c r="F130" t="inlineStr">
        <is>
          <t>广东省深圳市龙华区民治街道龙塘新村深圳龙豪酒店</t>
        </is>
      </c>
      <c r="G130" t="inlineStr">
        <is>
          <t>日间巡查</t>
        </is>
      </c>
      <c r="H130" t="inlineStr">
        <is>
          <t>程磊</t>
        </is>
      </c>
      <c r="I130" t="inlineStr">
        <is>
          <t>13316950043</t>
        </is>
      </c>
      <c r="K130" t="inlineStr">
        <is>
          <t>25</t>
        </is>
      </c>
      <c r="L130" t="inlineStr">
        <is>
          <t>7</t>
        </is>
      </c>
      <c r="N130" t="inlineStr">
        <is>
          <t>1.6: 设置洗手设施。（2分） (-2)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1.13: 收集容器外壁及内桶保持干净整洁，避免陈旧性脏污，收集容器内无积水。（6分） (-3)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(-6)
2.4: 暂存点及其周围环境干净整洁，没有污水积聚或散落垃圾，禁止存放易燃易爆危险品，禁止违规接电、住人。（2分） (-2)</t>
        </is>
      </c>
      <c r="O130">
        <f>HYPERLINK("https://yueling-buddy.github.io/xxr-inspection-album/weeks/2026-09-03/venue/v-%E5%B9%BF%E4%B8%9C%E7%9C%81%E6%B7%B1%E5%9C%B3%E5%B8%82%E9%BE%99%E5%8D%8E%E5%8C%BA%E6%B0%91%E6%B2%BB%E8%A1%97%E9%81%93%E9%BE%99%E5%A1%98%E6%96%B0%E6%9D%91%E6%B7%B1%E5%9C%B3%E9%BE%99%E8%B1%AA%E9%85%92%E5%BA%97_%E9%BE%99%E5%A1%98%E6%96%B0%E6%9D%91.html","查看证据(7项/14张)")</f>
        <v/>
      </c>
      <c r="P130" t="inlineStr">
        <is>
          <t>81.0</t>
        </is>
      </c>
      <c r="Q130" t="inlineStr">
        <is>
          <t>是</t>
        </is>
      </c>
      <c r="R130" t="inlineStr">
        <is>
          <t>处理进行中</t>
        </is>
      </c>
      <c r="S130" t="inlineStr">
        <is>
          <t>处理人处理</t>
        </is>
      </c>
      <c r="T130" t="inlineStr">
        <is>
          <t>2026-09-07</t>
        </is>
      </c>
      <c r="U130" t="inlineStr">
        <is>
          <t>2026-09-04</t>
        </is>
      </c>
      <c r="V130" t="inlineStr">
        <is>
          <t>2026-09-07 17:39:36.0</t>
        </is>
      </c>
      <c r="W130" t="inlineStr">
        <is>
          <t>628.24</t>
        </is>
      </c>
      <c r="Y130" t="inlineStr">
        <is>
          <t>是</t>
        </is>
      </c>
      <c r="Z130" t="inlineStr">
        <is>
          <t>是</t>
        </is>
      </c>
    </row>
    <row r="131">
      <c r="A131" t="inlineStr">
        <is>
          <t>住宅小区</t>
        </is>
      </c>
      <c r="B131" t="inlineStr">
        <is>
          <t>湖心大厦</t>
        </is>
      </c>
      <c r="C131" t="inlineStr">
        <is>
          <t>罗湖区</t>
        </is>
      </c>
      <c r="D131" t="inlineStr">
        <is>
          <t>南湖街道</t>
        </is>
      </c>
      <c r="E131" t="inlineStr">
        <is>
          <t>嘉北社区</t>
        </is>
      </c>
      <c r="F131" t="inlineStr">
        <is>
          <t>广东省深圳市罗湖区湖心大厦</t>
        </is>
      </c>
      <c r="G131" t="inlineStr">
        <is>
          <t>日间巡查</t>
        </is>
      </c>
      <c r="H131" t="inlineStr">
        <is>
          <t>胡正负</t>
        </is>
      </c>
      <c r="I131" t="inlineStr">
        <is>
          <t>13723402248</t>
        </is>
      </c>
      <c r="K131" t="inlineStr">
        <is>
          <t>33</t>
        </is>
      </c>
      <c r="L131" t="inlineStr">
        <is>
          <t>3</t>
        </is>
      </c>
      <c r="N131" t="inlineStr">
        <is>
          <t>1.14: 各类垃圾及时清运，投放点及其周围环境干净整洁，没有垃圾满溢、暴露垃圾、杂物堆放、严重积水或明显异味等问题。（6分） (-2)
1.16: 禁止通过捆绑、卡挡或上锁等方式封闭或遮挡投放口。（4分） (-2)
1.17: 转运桶应在黄线划定区域内摆放整齐并保持全天关闭（作业状态除外），禁止罩外摆桶供居民投放。（6分） (-2)</t>
        </is>
      </c>
      <c r="O131">
        <f>HYPERLINK("https://yueling-buddy.github.io/xxr-inspection-album/weeks/2026-09-03/venue/v-%E5%B9%BF%E4%B8%9C%E7%9C%81%E6%B7%B1%E5%9C%B3%E5%B8%82%E7%BD%97%E6%B9%96%E5%8C%BA%E6%B9%96%E5%BF%83%E5%A4%A7%E5%8E%A6_%E6%B9%96%E5%BF%83%E5%A4%A7%E5%8E%A6.html","查看证据(3项/3张)")</f>
        <v/>
      </c>
      <c r="P131" t="inlineStr">
        <is>
          <t>94.0</t>
        </is>
      </c>
      <c r="Q131" t="inlineStr">
        <is>
          <t>是</t>
        </is>
      </c>
      <c r="R131" t="inlineStr">
        <is>
          <t>处理进行中</t>
        </is>
      </c>
      <c r="S131" t="inlineStr">
        <is>
          <t>处理人处理</t>
        </is>
      </c>
      <c r="T131" t="inlineStr">
        <is>
          <t>2026-09-07</t>
        </is>
      </c>
      <c r="U131" t="inlineStr">
        <is>
          <t>2026-09-04</t>
        </is>
      </c>
      <c r="V131" t="inlineStr">
        <is>
          <t>2026-09-07 17:39:44.0</t>
        </is>
      </c>
      <c r="W131" t="inlineStr">
        <is>
          <t>704.48</t>
        </is>
      </c>
      <c r="Y131" t="inlineStr">
        <is>
          <t>是</t>
        </is>
      </c>
      <c r="Z131" t="inlineStr">
        <is>
          <t>是</t>
        </is>
      </c>
    </row>
    <row r="132">
      <c r="A132" t="inlineStr">
        <is>
          <t>住宅小区</t>
        </is>
      </c>
      <c r="B132" t="inlineStr">
        <is>
          <t>南华街小区</t>
        </is>
      </c>
      <c r="C132" t="inlineStr">
        <is>
          <t>罗湖区</t>
        </is>
      </c>
      <c r="D132" t="inlineStr">
        <is>
          <t>南湖街道</t>
        </is>
      </c>
      <c r="E132" t="inlineStr">
        <is>
          <t>嘉北社区</t>
        </is>
      </c>
      <c r="F132" t="inlineStr">
        <is>
          <t>罗湖区南湖街道春风路2001号</t>
        </is>
      </c>
      <c r="G132" t="inlineStr">
        <is>
          <t>日间巡查</t>
        </is>
      </c>
      <c r="H132" t="inlineStr">
        <is>
          <t>胡正负</t>
        </is>
      </c>
      <c r="I132" t="inlineStr">
        <is>
          <t>13723402248</t>
        </is>
      </c>
      <c r="K132" t="inlineStr">
        <is>
          <t>33</t>
        </is>
      </c>
      <c r="L132" t="inlineStr">
        <is>
          <t>3</t>
        </is>
      </c>
      <c r="N132" t="inlineStr">
        <is>
          <t>1.13: 收集容器外壁及内桶保持干净整洁，避免陈旧性脏污，收集容器内无积水。（4分） (-2)
1.14: 各类垃圾及时清运，投放点及其周围环境干净整洁，没有垃圾满溢、暴露垃圾、杂物堆放、严重积水或明显异味等问题。（6分） (-2)
2.4: 暂存点及其周围环境干净整洁，没有污水积聚或散落垃圾，禁止存放易燃易爆危险品，禁止违规接电、住人。（2分） (-2)</t>
        </is>
      </c>
      <c r="O132">
        <f>HYPERLINK("https://yueling-buddy.github.io/xxr-inspection-album/weeks/2026-09-03/venue/v-%E7%BD%97%E6%B9%96%E5%8C%BA%E5%8D%97%E6%B9%96%E8%A1%97%E9%81%93%E6%98%A5%E9%A3%8E%E8%B7%AF2001%E5%8F%B7_%E5%8D%97%E5%8D%8E%E8%A1%97%E5%B0%8F%E5%8C%BA.html","查看证据(3项/3张)")</f>
        <v/>
      </c>
      <c r="P132" t="inlineStr">
        <is>
          <t>94.0</t>
        </is>
      </c>
      <c r="Q132" t="inlineStr">
        <is>
          <t>是</t>
        </is>
      </c>
      <c r="R132" t="inlineStr">
        <is>
          <t>处理进行中</t>
        </is>
      </c>
      <c r="S132" t="inlineStr">
        <is>
          <t>处理人处理</t>
        </is>
      </c>
      <c r="T132" t="inlineStr">
        <is>
          <t>2026-09-07</t>
        </is>
      </c>
      <c r="U132" t="inlineStr">
        <is>
          <t>2026-09-04</t>
        </is>
      </c>
      <c r="V132" t="inlineStr">
        <is>
          <t>2026-09-07 17:39:49.0</t>
        </is>
      </c>
      <c r="W132" t="inlineStr">
        <is>
          <t>1241.3</t>
        </is>
      </c>
      <c r="Y132" t="inlineStr">
        <is>
          <t>否</t>
        </is>
      </c>
      <c r="Z132" t="inlineStr">
        <is>
          <t>否</t>
        </is>
      </c>
    </row>
    <row r="133">
      <c r="A133" t="inlineStr">
        <is>
          <t>住宅小区</t>
        </is>
      </c>
      <c r="B133" t="inlineStr">
        <is>
          <t>海丰苑大厦</t>
        </is>
      </c>
      <c r="C133" t="inlineStr">
        <is>
          <t>罗湖区</t>
        </is>
      </c>
      <c r="D133" t="inlineStr">
        <is>
          <t>南湖街道</t>
        </is>
      </c>
      <c r="E133" t="inlineStr">
        <is>
          <t>嘉北社区</t>
        </is>
      </c>
      <c r="F133" t="inlineStr">
        <is>
          <t>广东省深圳市罗湖区海丰苑</t>
        </is>
      </c>
      <c r="G133" t="inlineStr">
        <is>
          <t>日间巡查</t>
        </is>
      </c>
      <c r="H133" t="inlineStr">
        <is>
          <t>胡正负</t>
        </is>
      </c>
      <c r="I133" t="inlineStr">
        <is>
          <t>13723402248</t>
        </is>
      </c>
      <c r="K133" t="inlineStr">
        <is>
          <t>35</t>
        </is>
      </c>
      <c r="L133" t="inlineStr">
        <is>
          <t>1</t>
        </is>
      </c>
      <c r="N133" t="inlineStr">
        <is>
          <t>2.2: 设置消防设施，使用功能正常，取用方便。（2分） (-2)</t>
        </is>
      </c>
      <c r="O133">
        <f>HYPERLINK("https://yueling-buddy.github.io/xxr-inspection-album/weeks/2026-09-03/venue/v-%E5%B9%BF%E4%B8%9C%E7%9C%81%E6%B7%B1%E5%9C%B3%E5%B8%82%E7%BD%97%E6%B9%96%E5%8C%BA%E6%B5%B7%E4%B8%B0%E8%8B%91_%E6%B5%B7%E4%B8%B0%E8%8B%91%E5%A4%A7%E5%8E%A6.html","查看证据(1项/2张)")</f>
        <v/>
      </c>
      <c r="P133" t="inlineStr">
        <is>
          <t>98.0</t>
        </is>
      </c>
      <c r="Q133" t="inlineStr">
        <is>
          <t>是</t>
        </is>
      </c>
      <c r="R133" t="inlineStr">
        <is>
          <t>处理进行中</t>
        </is>
      </c>
      <c r="S133" t="inlineStr">
        <is>
          <t>处理人处理</t>
        </is>
      </c>
      <c r="T133" t="inlineStr">
        <is>
          <t>2026-09-07</t>
        </is>
      </c>
      <c r="U133" t="inlineStr">
        <is>
          <t>2026-09-04</t>
        </is>
      </c>
      <c r="V133" t="inlineStr">
        <is>
          <t>2026-09-07 17:40:02.0</t>
        </is>
      </c>
      <c r="W133" t="inlineStr">
        <is>
          <t>779.94</t>
        </is>
      </c>
      <c r="Y133" t="inlineStr">
        <is>
          <t>是</t>
        </is>
      </c>
      <c r="Z133" t="inlineStr">
        <is>
          <t>否</t>
        </is>
      </c>
    </row>
    <row r="134">
      <c r="A134" t="inlineStr">
        <is>
          <t>住宅小区</t>
        </is>
      </c>
      <c r="B134" t="inlineStr">
        <is>
          <t>南洋大厦</t>
        </is>
      </c>
      <c r="C134" t="inlineStr">
        <is>
          <t>罗湖区</t>
        </is>
      </c>
      <c r="D134" t="inlineStr">
        <is>
          <t>南湖街道</t>
        </is>
      </c>
      <c r="E134" t="inlineStr">
        <is>
          <t>嘉北社区</t>
        </is>
      </c>
      <c r="F134" t="inlineStr">
        <is>
          <t>广东省深圳市罗湖区南洋大厦</t>
        </is>
      </c>
      <c r="G134" t="inlineStr">
        <is>
          <t>日间巡查</t>
        </is>
      </c>
      <c r="H134" t="inlineStr">
        <is>
          <t>胡正负</t>
        </is>
      </c>
      <c r="I134" t="inlineStr">
        <is>
          <t>13723402248</t>
        </is>
      </c>
      <c r="K134" t="inlineStr">
        <is>
          <t>35</t>
        </is>
      </c>
      <c r="L134" t="inlineStr">
        <is>
          <t>1</t>
        </is>
      </c>
      <c r="N134" t="inlineStr">
        <is>
          <t>1.13: 收集容器外壁及内桶保持干净整洁，避免陈旧性脏污，收集容器内无积水。（4分） (-4)</t>
        </is>
      </c>
      <c r="O134">
        <f>HYPERLINK("https://yueling-buddy.github.io/xxr-inspection-album/weeks/2026-09-03/venue/v-%E5%B9%BF%E4%B8%9C%E7%9C%81%E6%B7%B1%E5%9C%B3%E5%B8%82%E7%BD%97%E6%B9%96%E5%8C%BA%E5%8D%97%E6%B4%8B%E5%A4%A7%E5%8E%A6_%E5%8D%97%E6%B4%8B%E5%A4%A7%E5%8E%A6.html","查看证据(1项/2张)")</f>
        <v/>
      </c>
      <c r="P134" t="inlineStr">
        <is>
          <t>96.0</t>
        </is>
      </c>
      <c r="Q134" t="inlineStr">
        <is>
          <t>是</t>
        </is>
      </c>
      <c r="R134" t="inlineStr">
        <is>
          <t>处理进行中</t>
        </is>
      </c>
      <c r="S134" t="inlineStr">
        <is>
          <t>处理人处理</t>
        </is>
      </c>
      <c r="T134" t="inlineStr">
        <is>
          <t>2026-09-07</t>
        </is>
      </c>
      <c r="U134" t="inlineStr">
        <is>
          <t>2026-09-04</t>
        </is>
      </c>
      <c r="V134" t="inlineStr">
        <is>
          <t>2026-09-07 17:40:08.0</t>
        </is>
      </c>
      <c r="W134" t="inlineStr">
        <is>
          <t>767.93</t>
        </is>
      </c>
      <c r="Y134" t="inlineStr">
        <is>
          <t>是</t>
        </is>
      </c>
      <c r="Z134" t="inlineStr">
        <is>
          <t>否</t>
        </is>
      </c>
    </row>
    <row r="135">
      <c r="A135" t="inlineStr">
        <is>
          <t>住宅小区</t>
        </is>
      </c>
      <c r="B135" t="inlineStr">
        <is>
          <t>嘉御豪园</t>
        </is>
      </c>
      <c r="C135" t="inlineStr">
        <is>
          <t>龙岗区</t>
        </is>
      </c>
      <c r="D135" t="inlineStr">
        <is>
          <t>坂田街道</t>
        </is>
      </c>
      <c r="E135" t="inlineStr">
        <is>
          <t>大发埔社区</t>
        </is>
      </c>
      <c r="F135" t="inlineStr">
        <is>
          <t>坂田街道嘉御豪园</t>
        </is>
      </c>
      <c r="G135" t="inlineStr">
        <is>
          <t>日间巡查</t>
        </is>
      </c>
      <c r="H135" t="inlineStr">
        <is>
          <t>陈运初</t>
        </is>
      </c>
      <c r="I135" t="inlineStr">
        <is>
          <t>13714739365</t>
        </is>
      </c>
      <c r="K135" t="inlineStr">
        <is>
          <t>33</t>
        </is>
      </c>
      <c r="L135" t="inlineStr">
        <is>
          <t>3</t>
        </is>
      </c>
      <c r="M135" t="inlineStr">
        <is>
          <t>1.误时投放标识不规范</t>
        </is>
      </c>
      <c r="N135"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(-2)
2.4: 暂存点及其周围环境干净整洁，没有污水积聚或散落垃圾，禁止存放易燃易爆危险品，禁止违规接电、住人。（2分） (-2)</t>
        </is>
      </c>
      <c r="O135">
        <f>HYPERLINK("https://yueling-buddy.github.io/xxr-inspection-album/weeks/2026-09-03/venue/v-%E5%9D%82%E7%94%B0%E8%A1%97%E9%81%93%E5%98%89%E5%BE%A1%E8%B1%AA%E5%9B%AD_%E5%98%89%E5%BE%A1%E8%B1%AA%E5%9B%AD.html","查看证据(3项/3张)")</f>
        <v/>
      </c>
      <c r="P135" t="inlineStr">
        <is>
          <t>94.0</t>
        </is>
      </c>
      <c r="Q135" t="inlineStr">
        <is>
          <t>是</t>
        </is>
      </c>
      <c r="R135" t="inlineStr">
        <is>
          <t>处理进行中</t>
        </is>
      </c>
      <c r="S135" t="inlineStr">
        <is>
          <t>处理人处理</t>
        </is>
      </c>
      <c r="T135" t="inlineStr">
        <is>
          <t>2026-09-07</t>
        </is>
      </c>
      <c r="U135" t="inlineStr">
        <is>
          <t>2026-09-04</t>
        </is>
      </c>
      <c r="V135" t="inlineStr">
        <is>
          <t>2026-09-07 17:40:18.0</t>
        </is>
      </c>
      <c r="W135" t="inlineStr">
        <is>
          <t>11998.79</t>
        </is>
      </c>
      <c r="Y135" t="inlineStr">
        <is>
          <t>是</t>
        </is>
      </c>
      <c r="Z135" t="inlineStr">
        <is>
          <t>否</t>
        </is>
      </c>
    </row>
    <row r="136">
      <c r="A136" t="inlineStr">
        <is>
          <t>住宅小区</t>
        </is>
      </c>
      <c r="B136" t="inlineStr">
        <is>
          <t>御珑豪园</t>
        </is>
      </c>
      <c r="C136" t="inlineStr">
        <is>
          <t>龙岗区</t>
        </is>
      </c>
      <c r="D136" t="inlineStr">
        <is>
          <t>坂田街道</t>
        </is>
      </c>
      <c r="E136" t="inlineStr">
        <is>
          <t>大发埔社区</t>
        </is>
      </c>
      <c r="F136" t="inlineStr">
        <is>
          <t>广东省深圳市龙岗区-泰山路</t>
        </is>
      </c>
      <c r="G136" t="inlineStr">
        <is>
          <t>日间巡查</t>
        </is>
      </c>
      <c r="H136" t="inlineStr">
        <is>
          <t>陈运初</t>
        </is>
      </c>
      <c r="I136" t="inlineStr">
        <is>
          <t>13714739365</t>
        </is>
      </c>
      <c r="K136" t="inlineStr">
        <is>
          <t>33</t>
        </is>
      </c>
      <c r="L136" t="inlineStr">
        <is>
          <t>3</t>
        </is>
      </c>
      <c r="N136" t="inlineStr">
        <is>
          <t>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(-6)
2.1: 设置标识牌，外观使用“深i回收”标识，封闭围挡，地面硬底化。（2分） (-2)</t>
        </is>
      </c>
      <c r="O136">
        <f>HYPERLINK("https://yueling-buddy.github.io/xxr-inspection-album/weeks/2026-09-03/venue/v-%E5%B9%BF%E4%B8%9C%E7%9C%81%E6%B7%B1%E5%9C%B3%E5%B8%82%E9%BE%99%E5%B2%97%E5%8C%BA_%E6%B3%B0%E5%B1%B1%E8%B7%AF_%E5%BE%A1%E7%8F%91%E8%B1%AA%E5%9B%AD.html","查看证据(3项/6张)")</f>
        <v/>
      </c>
      <c r="P136" t="inlineStr">
        <is>
          <t>90.0</t>
        </is>
      </c>
      <c r="Q136" t="inlineStr">
        <is>
          <t>是</t>
        </is>
      </c>
      <c r="R136" t="inlineStr">
        <is>
          <t>处理进行中</t>
        </is>
      </c>
      <c r="S136" t="inlineStr">
        <is>
          <t>处理人处理</t>
        </is>
      </c>
      <c r="T136" t="inlineStr">
        <is>
          <t>2026-09-07</t>
        </is>
      </c>
      <c r="U136" t="inlineStr">
        <is>
          <t>2026-09-04</t>
        </is>
      </c>
      <c r="V136" t="inlineStr">
        <is>
          <t>2026-09-07 17:40:36.0</t>
        </is>
      </c>
      <c r="W136" t="inlineStr">
        <is>
          <t>6670.05</t>
        </is>
      </c>
      <c r="Y136" t="inlineStr">
        <is>
          <t>是</t>
        </is>
      </c>
      <c r="Z136" t="inlineStr">
        <is>
          <t>是</t>
        </is>
      </c>
    </row>
    <row r="137">
      <c r="A137" t="inlineStr">
        <is>
          <t>商务写字楼</t>
        </is>
      </c>
      <c r="B137" t="inlineStr">
        <is>
          <t>天健云途创智中心</t>
        </is>
      </c>
      <c r="C137" t="inlineStr">
        <is>
          <t>南山区</t>
        </is>
      </c>
      <c r="D137" t="inlineStr">
        <is>
          <t>沙河街道</t>
        </is>
      </c>
      <c r="E137" t="inlineStr">
        <is>
          <t>高发社区</t>
        </is>
      </c>
      <c r="F137" t="inlineStr">
        <is>
          <t>广东省深圳市南山区沙河街道天健科技大厦</t>
        </is>
      </c>
      <c r="G137" t="inlineStr">
        <is>
          <t>日间巡查</t>
        </is>
      </c>
      <c r="H137" t="inlineStr">
        <is>
          <t>苏成龙</t>
        </is>
      </c>
      <c r="I137" t="inlineStr">
        <is>
          <t>18307612379</t>
        </is>
      </c>
      <c r="K137" t="inlineStr">
        <is>
          <t>14</t>
        </is>
      </c>
      <c r="L137" t="inlineStr">
        <is>
          <t>1</t>
        </is>
      </c>
      <c r="M137" t="inlineStr">
        <is>
          <t>1.无需填写</t>
        </is>
      </c>
      <c r="N137" t="inlineStr">
        <is>
          <t>1.4: 各类收集容器的分类标志完整、正确、清晰。 (-6)</t>
        </is>
      </c>
      <c r="O137">
        <f>HYPERLINK("https://yueling-buddy.github.io/xxr-inspection-album/weeks/2026-09-03/venue/v-%E5%B9%BF%E4%B8%9C%E7%9C%81%E6%B7%B1%E5%9C%B3%E5%B8%82%E5%8D%97%E5%B1%B1%E5%8C%BA%E6%B2%99%E6%B2%B3%E8%A1%97%E9%81%93%E5%A4%A9%E5%81%A5%E7%A7%91%E6%8A%80%E5%A4%A7%E5%8E%A6_%E5%A4%A9%E5%81%A5%E4%BA%91%E9%80%94%E5%88%9B%E6%99%BA%E4%B8%AD%E5%BF%83.html","查看证据(1项/4张)")</f>
        <v/>
      </c>
      <c r="P137" t="inlineStr">
        <is>
          <t>94.0</t>
        </is>
      </c>
      <c r="Q137" t="inlineStr">
        <is>
          <t>是</t>
        </is>
      </c>
      <c r="R137" t="inlineStr">
        <is>
          <t>处理进行中</t>
        </is>
      </c>
      <c r="S137" t="inlineStr">
        <is>
          <t>市级复查中</t>
        </is>
      </c>
      <c r="T137" t="inlineStr">
        <is>
          <t>2026-09-07</t>
        </is>
      </c>
      <c r="U137" t="inlineStr">
        <is>
          <t>2026-09-04</t>
        </is>
      </c>
      <c r="V137" t="inlineStr">
        <is>
          <t>2026-09-07 17:40:22.0</t>
        </is>
      </c>
      <c r="W137" t="inlineStr">
        <is>
          <t>6183.14</t>
        </is>
      </c>
      <c r="Y137" t="inlineStr">
        <is>
          <t>否</t>
        </is>
      </c>
      <c r="Z137" t="inlineStr">
        <is>
          <t>否</t>
        </is>
      </c>
    </row>
    <row r="138">
      <c r="A138" t="inlineStr">
        <is>
          <t>住宅小区</t>
        </is>
      </c>
      <c r="B138" t="inlineStr">
        <is>
          <t>朗侨峰居</t>
        </is>
      </c>
      <c r="C138" t="inlineStr">
        <is>
          <t>南山区</t>
        </is>
      </c>
      <c r="D138" t="inlineStr">
        <is>
          <t>沙河街道</t>
        </is>
      </c>
      <c r="E138" t="inlineStr">
        <is>
          <t>高发社区</t>
        </is>
      </c>
      <c r="F138" t="inlineStr">
        <is>
          <t>深圳市北环路与深云路交界处</t>
        </is>
      </c>
      <c r="G138" t="inlineStr">
        <is>
          <t>日间巡查</t>
        </is>
      </c>
      <c r="H138" t="inlineStr">
        <is>
          <t>苏成龙</t>
        </is>
      </c>
      <c r="I138" t="inlineStr">
        <is>
          <t>18307612379</t>
        </is>
      </c>
      <c r="K138" t="inlineStr">
        <is>
          <t>33</t>
        </is>
      </c>
      <c r="L138" t="inlineStr">
        <is>
          <t>3</t>
        </is>
      </c>
      <c r="M138" t="inlineStr">
        <is>
          <t>1.未张贴误时投放标识2.无需填写3.无需填写</t>
        </is>
      </c>
      <c r="N138" t="inlineStr">
        <is>
          <t>1.4: 至少设置一处厨余垃圾误时投放点，张贴误时投放点标识，并保持24小时开放。（2分） (-2)
1.13: 收集容器外壁及内桶保持干净整洁，避免陈旧性脏污，收集容器内无积水。（4分） (-2)
2.3: 各类垃圾及时清运。（2分） (-2)</t>
        </is>
      </c>
      <c r="O138">
        <f>HYPERLINK("https://yueling-buddy.github.io/xxr-inspection-album/weeks/2026-09-03/venue/v-%E6%B7%B1%E5%9C%B3%E5%B8%82%E5%8C%97%E7%8E%AF%E8%B7%AF%E4%B8%8E%E6%B7%B1%E4%BA%91%E8%B7%AF%E4%BA%A4%E7%95%8C%E5%A4%84_%E6%9C%97%E4%BE%A8%E5%B3%B0%E5%B1%85.html","查看证据(3项/8张)")</f>
        <v/>
      </c>
      <c r="P138" t="inlineStr">
        <is>
          <t>94.0</t>
        </is>
      </c>
      <c r="Q138" t="inlineStr">
        <is>
          <t>是</t>
        </is>
      </c>
      <c r="R138" t="inlineStr">
        <is>
          <t>处理进行中</t>
        </is>
      </c>
      <c r="S138" t="inlineStr">
        <is>
          <t>市级复查中</t>
        </is>
      </c>
      <c r="T138" t="inlineStr">
        <is>
          <t>2026-09-07</t>
        </is>
      </c>
      <c r="U138" t="inlineStr">
        <is>
          <t>2026-09-04</t>
        </is>
      </c>
      <c r="V138" t="inlineStr">
        <is>
          <t>2026-09-07 17:40:15.0</t>
        </is>
      </c>
      <c r="W138" t="inlineStr">
        <is>
          <t>7330.28</t>
        </is>
      </c>
      <c r="Y138" t="inlineStr">
        <is>
          <t>否</t>
        </is>
      </c>
      <c r="Z138" t="inlineStr">
        <is>
          <t>否</t>
        </is>
      </c>
    </row>
    <row r="139">
      <c r="A139" t="inlineStr">
        <is>
          <t>住宅小区</t>
        </is>
      </c>
      <c r="B139" t="inlineStr">
        <is>
          <t>深铁懿府</t>
        </is>
      </c>
      <c r="C139" t="inlineStr">
        <is>
          <t>南山区</t>
        </is>
      </c>
      <c r="D139" t="inlineStr">
        <is>
          <t>沙河街道</t>
        </is>
      </c>
      <c r="E139" t="inlineStr">
        <is>
          <t>高发社区</t>
        </is>
      </c>
      <c r="F139" t="inlineStr">
        <is>
          <t>深圳市南山区沙河街道深安路33号深铁懿府</t>
        </is>
      </c>
      <c r="G139" t="inlineStr">
        <is>
          <t>日间巡查</t>
        </is>
      </c>
      <c r="H139" t="inlineStr">
        <is>
          <t>苏成龙</t>
        </is>
      </c>
      <c r="I139" t="inlineStr">
        <is>
          <t>18307612379</t>
        </is>
      </c>
      <c r="K139" t="inlineStr">
        <is>
          <t>30</t>
        </is>
      </c>
      <c r="L139" t="inlineStr">
        <is>
          <t>6</t>
        </is>
      </c>
      <c r="M139" t="inlineStr">
        <is>
          <t>1.未张贴误时投放标识2.无需填写3.无需填写4.未建好，物业称正在建5.无需填写6.无需填写</t>
        </is>
      </c>
      <c r="N139"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(-4)
1.14: 各类垃圾及时清运，投放点及其周围环境干净整洁，没有垃圾满溢、暴露垃圾、杂物堆放、严重积水或明显异味等问题。（6分） (-2)
2.1: 设置标识牌，外观使用“深i回收”标识，封闭围挡，地面硬底化。（2分） (-2)
2.2: 设置消防设施，使用功能正常，取用方便。（2分） (-2)
3.2: 暂存点及其周围环境干净整洁，各类桶整齐、密闭摆放，没有污水积聚或散落垃圾。（2分） (-2)</t>
        </is>
      </c>
      <c r="O139">
        <f>HYPERLINK("https://yueling-buddy.github.io/xxr-inspection-album/weeks/2026-09-03/venue/v-%E6%B7%B1%E5%9C%B3%E5%B8%82%E5%8D%97%E5%B1%B1%E5%8C%BA%E6%B2%99%E6%B2%B3%E8%A1%97%E9%81%93%E6%B7%B1%E5%AE%89%E8%B7%AF33%E5%8F%B7%E6%B7%B1%E9%93%81%E6%87%BF%E5%BA%9C_%E6%B7%B1%E9%93%81%E6%87%BF%E5%BA%9C.html","查看证据(6项/11张)")</f>
        <v/>
      </c>
      <c r="P139" t="inlineStr">
        <is>
          <t>86.0</t>
        </is>
      </c>
      <c r="Q139" t="inlineStr">
        <is>
          <t>是</t>
        </is>
      </c>
      <c r="R139" t="inlineStr">
        <is>
          <t>处理进行中</t>
        </is>
      </c>
      <c r="S139" t="inlineStr">
        <is>
          <t>处理人处理</t>
        </is>
      </c>
      <c r="T139" t="inlineStr">
        <is>
          <t>2026-09-07</t>
        </is>
      </c>
      <c r="U139" t="inlineStr">
        <is>
          <t>2026-09-04</t>
        </is>
      </c>
      <c r="V139" t="inlineStr">
        <is>
          <t>2026-09-07 17:39:40.0</t>
        </is>
      </c>
      <c r="W139" t="inlineStr">
        <is>
          <t>26804.51</t>
        </is>
      </c>
      <c r="Y139" t="inlineStr">
        <is>
          <t>否</t>
        </is>
      </c>
      <c r="Z139" t="inlineStr">
        <is>
          <t>否</t>
        </is>
      </c>
    </row>
    <row r="140">
      <c r="A140" t="inlineStr">
        <is>
          <t>城中村</t>
        </is>
      </c>
      <c r="B140" t="inlineStr">
        <is>
          <t>简上村</t>
        </is>
      </c>
      <c r="C140" t="inlineStr">
        <is>
          <t>龙华区</t>
        </is>
      </c>
      <c r="D140" t="inlineStr">
        <is>
          <t>民治街道</t>
        </is>
      </c>
      <c r="E140" t="inlineStr">
        <is>
          <t>龙塘社区</t>
        </is>
      </c>
      <c r="F140" t="inlineStr">
        <is>
          <t>龙华区民治街道龙塘社区简上村</t>
        </is>
      </c>
      <c r="G140" t="inlineStr">
        <is>
          <t>日间巡查</t>
        </is>
      </c>
      <c r="H140" t="inlineStr">
        <is>
          <t>程磊</t>
        </is>
      </c>
      <c r="I140" t="inlineStr">
        <is>
          <t>13316950043</t>
        </is>
      </c>
      <c r="K140" t="inlineStr">
        <is>
          <t>25</t>
        </is>
      </c>
      <c r="L140" t="inlineStr">
        <is>
          <t>7</t>
        </is>
      </c>
      <c r="M140" t="inlineStr">
        <is>
          <t>1.感应设备损坏无法打开。</t>
        </is>
      </c>
      <c r="N140" t="inlineStr">
        <is>
          <t>1.5: 分类标志完整、正确、清晰，各类垃圾收集容器外罩和内桶的颜色正确。（4分） (-4)
1.6: 设置洗手设施。（2分） (-2)
1.14: 各类垃圾及时清运，投放点及其周围环境干净整洁，没有垃圾满溢、暴露垃圾、杂物堆放、严重积水或明显异味等问题。（6分） (-4)
1.16: 禁止通过捆绑、卡挡或上锁等方式封闭或遮挡投放口。（4分） (-4)
1.17: 转运桶应在黄线划定区域内摆放整齐并保持全天关闭（作业状态除外），禁止罩外摆桶供居民投放。（6分） (-6)
2.1: 设置标识牌，外观使用“深i回收”标识，封闭围挡，地面硬底化。（2分） (-2)
2.4: 暂存点及其周围环境干净整洁，没有污水积聚或散落垃圾，禁止存放易燃易爆危险品，禁止违规接电、住人。（2分） (-2)</t>
        </is>
      </c>
      <c r="O140">
        <f>HYPERLINK("https://yueling-buddy.github.io/xxr-inspection-album/weeks/2026-09-03/venue/v-%E9%BE%99%E5%8D%8E%E5%8C%BA%E6%B0%91%E6%B2%BB%E8%A1%97%E9%81%93%E9%BE%99%E5%A1%98%E7%A4%BE%E5%8C%BA%E7%AE%80%E4%B8%8A%E6%9D%91_%E7%AE%80%E4%B8%8A%E6%9D%91.html","查看证据(7项/19张)")</f>
        <v/>
      </c>
      <c r="P140" t="inlineStr">
        <is>
          <t>76.0</t>
        </is>
      </c>
      <c r="Q140" t="inlineStr">
        <is>
          <t>是</t>
        </is>
      </c>
      <c r="R140" t="inlineStr">
        <is>
          <t>处理进行中</t>
        </is>
      </c>
      <c r="S140" t="inlineStr">
        <is>
          <t>处理人处理</t>
        </is>
      </c>
      <c r="T140" t="inlineStr">
        <is>
          <t>2026-09-07</t>
        </is>
      </c>
      <c r="U140" t="inlineStr">
        <is>
          <t>2026-09-04</t>
        </is>
      </c>
      <c r="V140" t="inlineStr">
        <is>
          <t>2026-09-07 17:40:40.0</t>
        </is>
      </c>
      <c r="W140" t="inlineStr">
        <is>
          <t>170.47</t>
        </is>
      </c>
      <c r="Y140" t="inlineStr">
        <is>
          <t>是</t>
        </is>
      </c>
      <c r="Z140" t="inlineStr">
        <is>
          <t>是</t>
        </is>
      </c>
    </row>
    <row r="141">
      <c r="A141" t="inlineStr">
        <is>
          <t>住宅小区</t>
        </is>
      </c>
      <c r="B141" t="inlineStr">
        <is>
          <t>上丰花园</t>
        </is>
      </c>
      <c r="C141" t="inlineStr">
        <is>
          <t>龙华区</t>
        </is>
      </c>
      <c r="D141" t="inlineStr">
        <is>
          <t>民治街道</t>
        </is>
      </c>
      <c r="E141" t="inlineStr">
        <is>
          <t>龙塘社区</t>
        </is>
      </c>
      <c r="F141" t="inlineStr">
        <is>
          <t>深圳市龙华区民治街道龙塘社区简上村上丰花园</t>
        </is>
      </c>
      <c r="G141" t="inlineStr">
        <is>
          <t>日间巡查</t>
        </is>
      </c>
      <c r="H141" t="inlineStr">
        <is>
          <t>程磊</t>
        </is>
      </c>
      <c r="I141" t="inlineStr">
        <is>
          <t>13316950043</t>
        </is>
      </c>
      <c r="K141" t="inlineStr">
        <is>
          <t>33</t>
        </is>
      </c>
      <c r="L141" t="inlineStr">
        <is>
          <t>3</t>
        </is>
      </c>
      <c r="M141" t="inlineStr">
        <is>
          <t>1.未使用深i标识</t>
        </is>
      </c>
      <c r="N141" t="inlineStr">
        <is>
          <t>1.13: 收集容器外壁及内桶保持干净整洁，避免陈旧性脏污，收集容器内无积水。（4分） (-2)
1.17: 转运桶应在黄线划定区域内摆放整齐并保持全天关闭（作业状态除外），禁止罩外摆桶供居民投放。（6分） (-2)
2.1: 设置标识牌，外观使用“深i回收”标识，封闭围挡，地面硬底化。（2分） (-2)</t>
        </is>
      </c>
      <c r="O141">
        <f>HYPERLINK("https://yueling-buddy.github.io/xxr-inspection-album/weeks/2026-09-03/venue/v-%E6%B7%B1%E5%9C%B3%E5%B8%82%E9%BE%99%E5%8D%8E%E5%8C%BA%E6%B0%91%E6%B2%BB%E8%A1%97%E9%81%93%E9%BE%99%E5%A1%98%E7%A4%BE%E5%8C%BA%E7%AE%80%E4%B8%8A%E6%9D%91%E4%B8%8A%E4%B8%B0%E8%8A%B1%E5%9B%AD_%E4%B8%8A%E4%B8%B0%E8%8A%B1%E5%9B%AD.html","查看证据(3项/4张)")</f>
        <v/>
      </c>
      <c r="P141" t="inlineStr">
        <is>
          <t>94.0</t>
        </is>
      </c>
      <c r="Q141" t="inlineStr">
        <is>
          <t>是</t>
        </is>
      </c>
      <c r="R141" t="inlineStr">
        <is>
          <t>处理进行中</t>
        </is>
      </c>
      <c r="S141" t="inlineStr">
        <is>
          <t>处理人处理</t>
        </is>
      </c>
      <c r="T141" t="inlineStr">
        <is>
          <t>2026-09-07</t>
        </is>
      </c>
      <c r="U141" t="inlineStr">
        <is>
          <t>2026-09-04</t>
        </is>
      </c>
      <c r="V141" t="inlineStr">
        <is>
          <t>2026-09-07 17:41:04.0</t>
        </is>
      </c>
      <c r="W141" t="inlineStr">
        <is>
          <t>166.6</t>
        </is>
      </c>
      <c r="Y141" t="inlineStr">
        <is>
          <t>是</t>
        </is>
      </c>
      <c r="Z141" t="inlineStr">
        <is>
          <t>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45"/>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1" customWidth="1" min="3" max="3"/>
    <col width="62" customWidth="1" min="4" max="4"/>
    <col width="8" customWidth="1" min="5" max="5"/>
    <col width="58" customWidth="1" min="6" max="6"/>
    <col width="12" customWidth="1" min="7" max="7"/>
  </cols>
  <sheetData>
    <row r="1">
      <c r="A1" s="4" t="inlineStr">
        <is>
          <t>场所类型</t>
        </is>
      </c>
      <c r="B1" s="4" t="inlineStr">
        <is>
          <t>场所名称</t>
        </is>
      </c>
      <c r="C1" s="4" t="inlineStr">
        <is>
          <t>问题项编号</t>
        </is>
      </c>
      <c r="D1" s="4" t="inlineStr">
        <is>
          <t>扣分标准</t>
        </is>
      </c>
      <c r="E1" s="4" t="inlineStr">
        <is>
          <t>分值</t>
        </is>
      </c>
      <c r="F1" s="4" t="inlineStr">
        <is>
          <t>检查结果</t>
        </is>
      </c>
      <c r="G1" s="4" t="inlineStr">
        <is>
          <t>证据链接</t>
        </is>
      </c>
    </row>
    <row r="2">
      <c r="A2" t="inlineStr">
        <is>
          <t>城中村</t>
        </is>
      </c>
      <c r="B2" t="inlineStr">
        <is>
          <t>隔圳新村</t>
        </is>
      </c>
      <c r="C2" t="inlineStr">
        <is>
          <t>1.6</t>
        </is>
      </c>
      <c r="D2" s="5" t="inlineStr">
        <is>
          <t>设置洗手设施。（2分）</t>
        </is>
      </c>
      <c r="E2" t="inlineStr">
        <is>
          <t>-2</t>
        </is>
      </c>
      <c r="F2" s="5" t="inlineStr">
        <is>
          <t>（3）洗手设施不规范（包括水龙头损坏或明显松动，水龙头不出水，洗手盆堵塞等）(-1)（4处问题）</t>
        </is>
      </c>
      <c r="G2">
        <f>HYPERLINK("https://yueling-buddy.github.io/xxr-inspection-album/weeks/2026-09-03/venue/v-%E9%BE%99%E5%8D%8E%E5%8C%BA%E6%B0%91%E6%B2%BB%E8%A1%97%E9%81%93%E9%BE%99%E5%A1%98%E7%A4%BE%E5%8C%BA%E9%9A%94%E5%9C%B3%E6%96%B0%E6%9D%91_%E9%9A%94%E5%9C%B3%E6%96%B0%E6%9D%91.html","查看证据")</f>
        <v/>
      </c>
    </row>
    <row r="3">
      <c r="A3" t="inlineStr">
        <is>
          <t>城中村</t>
        </is>
      </c>
      <c r="B3" t="inlineStr">
        <is>
          <t>隔圳新村</t>
        </is>
      </c>
      <c r="C3" t="inlineStr">
        <is>
          <t>1.9</t>
        </is>
      </c>
      <c r="D3" s="5" t="inlineStr">
        <is>
          <t>各设施齐全完好，摆放整齐有序，使用功能正常，没有严重破损、陈旧问题，不得拆除投放口盖板支撑杆。（6分）</t>
        </is>
      </c>
      <c r="E3" t="inlineStr">
        <is>
          <t>-4</t>
        </is>
      </c>
      <c r="F3" s="5" t="inlineStr">
        <is>
          <t>（2）分类设施损坏或摆放不整齐(-2)（1处问题）； （3）内桶错放导致桶盖无法正常打开，未放置垃圾内桶等影响正常使用(-2)（1处问题）</t>
        </is>
      </c>
      <c r="G3">
        <f>HYPERLINK("https://yueling-buddy.github.io/xxr-inspection-album/weeks/2026-09-03/venue/v-%E9%BE%99%E5%8D%8E%E5%8C%BA%E6%B0%91%E6%B2%BB%E8%A1%97%E9%81%93%E9%BE%99%E5%A1%98%E7%A4%BE%E5%8C%BA%E9%9A%94%E5%9C%B3%E6%96%B0%E6%9D%91_%E9%9A%94%E5%9C%B3%E6%96%B0%E6%9D%91.html","查看证据")</f>
        <v/>
      </c>
    </row>
    <row r="4">
      <c r="A4" t="inlineStr">
        <is>
          <t>城中村</t>
        </is>
      </c>
      <c r="B4" t="inlineStr">
        <is>
          <t>隔圳新村</t>
        </is>
      </c>
      <c r="C4" t="inlineStr">
        <is>
          <t>1.16</t>
        </is>
      </c>
      <c r="D4" s="5" t="inlineStr">
        <is>
          <t>禁止通过捆绑、卡挡或上锁等方式封闭或遮挡投放口。（4分）</t>
        </is>
      </c>
      <c r="E4" t="inlineStr">
        <is>
          <t>-2</t>
        </is>
      </c>
      <c r="F4" s="5" t="inlineStr">
        <is>
          <t>（4）误时投放点未开放(-2)（1处问题）</t>
        </is>
      </c>
      <c r="G4">
        <f>HYPERLINK("https://yueling-buddy.github.io/xxr-inspection-album/weeks/2026-09-03/venue/v-%E9%BE%99%E5%8D%8E%E5%8C%BA%E6%B0%91%E6%B2%BB%E8%A1%97%E9%81%93%E9%BE%99%E5%A1%98%E7%A4%BE%E5%8C%BA%E9%9A%94%E5%9C%B3%E6%96%B0%E6%9D%91_%E9%9A%94%E5%9C%B3%E6%96%B0%E6%9D%91.html","查看证据")</f>
        <v/>
      </c>
    </row>
    <row r="5">
      <c r="A5" t="inlineStr">
        <is>
          <t>城中村</t>
        </is>
      </c>
      <c r="B5" t="inlineStr">
        <is>
          <t>隔圳新村</t>
        </is>
      </c>
      <c r="C5" t="inlineStr">
        <is>
          <t>1.17</t>
        </is>
      </c>
      <c r="D5" s="5" t="inlineStr">
        <is>
          <t>转运桶应在黄线划定区域内摆放整齐并保持全天关闭（作业状态除外），禁止罩外摆桶供居民投放。（6分）</t>
        </is>
      </c>
      <c r="E5" t="inlineStr">
        <is>
          <t>-6</t>
        </is>
      </c>
      <c r="F5" s="5" t="inlineStr">
        <is>
          <t>（3）监控范围外罩外摆桶并开盖供居民投放(-2)（3处问题）</t>
        </is>
      </c>
      <c r="G5">
        <f>HYPERLINK("https://yueling-buddy.github.io/xxr-inspection-album/weeks/2026-09-03/venue/v-%E9%BE%99%E5%8D%8E%E5%8C%BA%E6%B0%91%E6%B2%BB%E8%A1%97%E9%81%93%E9%BE%99%E5%A1%98%E7%A4%BE%E5%8C%BA%E9%9A%94%E5%9C%B3%E6%96%B0%E6%9D%91_%E9%9A%94%E5%9C%B3%E6%96%B0%E6%9D%91.html","查看证据")</f>
        <v/>
      </c>
    </row>
    <row r="6">
      <c r="A6" t="inlineStr">
        <is>
          <t>住宅小区</t>
        </is>
      </c>
      <c r="B6" t="inlineStr">
        <is>
          <t>星河传奇</t>
        </is>
      </c>
      <c r="C6" t="inlineStr">
        <is>
          <t>1.13</t>
        </is>
      </c>
      <c r="D6" s="5" t="inlineStr">
        <is>
          <t>收集容器外壁及内桶保持干净整洁，避免陈旧性脏污，收集容器内无积水。（4分）</t>
        </is>
      </c>
      <c r="E6" t="inlineStr">
        <is>
          <t>-2</t>
        </is>
      </c>
      <c r="F6" s="5" t="inlineStr">
        <is>
          <t>（2）收集容器外壁、内桶存在明显陈旧性脏污，大片锈迹等(-2)（1处问题）</t>
        </is>
      </c>
      <c r="G6">
        <f>HYPERLINK("https://yueling-buddy.github.io/xxr-inspection-album/weeks/2026-09-03/venue/v-%E9%BE%99%E5%8D%8E%E5%8C%BA%E6%B0%91%E6%B2%BB%E8%A1%97%E9%81%93%E9%BE%99%E5%A1%98%E7%A4%BE%E5%8C%BA%E6%98%9F%E6%B2%B3%E4%BC%A0%E5%A5%87_%E6%98%9F%E6%B2%B3%E4%BC%A0%E5%A5%87.html","查看证据")</f>
        <v/>
      </c>
    </row>
    <row r="7">
      <c r="A7" t="inlineStr">
        <is>
          <t>酒店</t>
        </is>
      </c>
      <c r="B7" t="inlineStr">
        <is>
          <t>深圳市悦美佳酒店管理有限公司(维也纳人民南路店）</t>
        </is>
      </c>
      <c r="C7" t="inlineStr">
        <is>
          <t>1.7</t>
        </is>
      </c>
      <c r="D7" s="5" t="inlineStr">
        <is>
          <t>各类收集容器的分类标志完整、正确、清晰。 （9分）</t>
        </is>
      </c>
      <c r="E7" t="inlineStr">
        <is>
          <t>-3</t>
        </is>
      </c>
      <c r="F7" s="5" t="inlineStr">
        <is>
          <t>（2）收集容器标志缺失、错误或模糊不清的。（不强制要求垃圾桶套袋，若套袋的，收集容器应按垃圾类别对应颜色套袋）(-3)（1处问题）</t>
        </is>
      </c>
      <c r="G7">
        <f>HYPERLINK("https://yueling-buddy.github.io/xxr-inspection-album/weeks/2026-09-03/venue/v-%E5%B9%BF%E4%B8%9C%E7%9C%81%E6%B7%B1%E5%9C%B3%E5%B8%82%E9%BE%99%E5%8D%8E%E5%8C%BA%E6%B0%91%E6%B2%BB%E8%A1%97%E9%81%93%E6%9D%BE%E4%BB%94%E5%9B%AD%E7%BB%B4%E4%B9%9F%E7%BA%B3%E9%85%92%E5%BA%97_%E9%BE%99%E5%8D%8E%E4%BA%BA%E6%B0%91%E5%8D%97%E8%B7%AF%E5%BA%97_%E6%B7%B1%E5%9C%B3%E5%B8%82%E6%82%A6%E7%BE%8E%E4%BD%B3%E9%85%92%E5%BA%97%E7%AE%A1%E7%90%86%E6%9C%89%E9%99%90%E5%85%AC%E5%8F%B8_%E7%BB%B4%E4%B9%9F%E7%BA%B3%E4%BA%BA%E6%B0%91%E5%8D%97%E8%B7%AF%E5%BA%97_.html","查看证据")</f>
        <v/>
      </c>
    </row>
    <row r="8">
      <c r="A8" t="inlineStr">
        <is>
          <t>酒店</t>
        </is>
      </c>
      <c r="B8" t="inlineStr">
        <is>
          <t>深圳市悦美佳酒店管理有限公司(维也纳人民南路店）</t>
        </is>
      </c>
      <c r="C8" t="inlineStr">
        <is>
          <t>4.1</t>
        </is>
      </c>
      <c r="D8" s="5" t="inlineStr">
        <is>
          <t>不得主动向消费者提供客房一次性日用品。（10分）</t>
        </is>
      </c>
      <c r="E8" t="inlineStr">
        <is>
          <t>-10</t>
        </is>
      </c>
      <c r="F8" s="5" t="inlineStr">
        <is>
          <t>（2）主动向消费者提供客房一次性日用品(-10)（1处问题）</t>
        </is>
      </c>
      <c r="G8">
        <f>HYPERLINK("https://yueling-buddy.github.io/xxr-inspection-album/weeks/2026-09-03/venue/v-%E5%B9%BF%E4%B8%9C%E7%9C%81%E6%B7%B1%E5%9C%B3%E5%B8%82%E9%BE%99%E5%8D%8E%E5%8C%BA%E6%B0%91%E6%B2%BB%E8%A1%97%E9%81%93%E6%9D%BE%E4%BB%94%E5%9B%AD%E7%BB%B4%E4%B9%9F%E7%BA%B3%E9%85%92%E5%BA%97_%E9%BE%99%E5%8D%8E%E4%BA%BA%E6%B0%91%E5%8D%97%E8%B7%AF%E5%BA%97_%E6%B7%B1%E5%9C%B3%E5%B8%82%E6%82%A6%E7%BE%8E%E4%BD%B3%E9%85%92%E5%BA%97%E7%AE%A1%E7%90%86%E6%9C%89%E9%99%90%E5%85%AC%E5%8F%B8_%E7%BB%B4%E4%B9%9F%E7%BA%B3%E4%BA%BA%E6%B0%91%E5%8D%97%E8%B7%AF%E5%BA%97_.html","查看证据")</f>
        <v/>
      </c>
    </row>
    <row r="9">
      <c r="A9" t="inlineStr">
        <is>
          <t>住宅小区</t>
        </is>
      </c>
      <c r="B9" t="inlineStr">
        <is>
          <t>水榭春天花园</t>
        </is>
      </c>
      <c r="C9" t="inlineStr">
        <is>
          <t>1.5</t>
        </is>
      </c>
      <c r="D9" s="5" t="inlineStr">
        <is>
          <t>分类标志完整、正确、清晰，各类垃圾收集容器外罩和内桶的颜色正确。（4分）</t>
        </is>
      </c>
      <c r="E9" t="inlineStr">
        <is>
          <t>-4</t>
        </is>
      </c>
      <c r="F9" s="5" t="inlineStr">
        <is>
          <t>（3）外罩和内桶颜色不正确;（不强制要求垃圾桶套袋，若套袋的，收集容器应按垃圾类别对应颜色套袋）(-2)（3处问题）</t>
        </is>
      </c>
      <c r="G9">
        <f>HYPERLINK("https://yueling-buddy.github.io/xxr-inspection-album/weeks/2026-09-03/venue/v-%E5%B9%BF%E4%B8%9C%E7%9C%81%E6%B7%B1%E5%9C%B3%E5%B8%82%E9%BE%99%E5%8D%8E%E5%8C%BA%E6%B0%91%E6%B2%BB%E8%A1%97%E9%81%93%E8%8E%B1%E8%92%99_%E6%B0%B4%E6%A6%AD%E6%98%A5%E5%A4%A9_%E6%B0%B4%E6%A6%AD%E6%98%A5%E5%A4%A9%E8%8A%B1%E5%9B%AD.html","查看证据")</f>
        <v/>
      </c>
    </row>
    <row r="10">
      <c r="A10" t="inlineStr">
        <is>
          <t>住宅小区</t>
        </is>
      </c>
      <c r="B10" t="inlineStr">
        <is>
          <t>中航天逸管理处</t>
        </is>
      </c>
      <c r="C10" t="inlineStr">
        <is>
          <t>1.5</t>
        </is>
      </c>
      <c r="D10" s="5" t="inlineStr">
        <is>
          <t>分类标志完整、正确、清晰，各类垃圾收集容器外罩和内桶的颜色正确。（4分）</t>
        </is>
      </c>
      <c r="E10" t="inlineStr">
        <is>
          <t>-4</t>
        </is>
      </c>
      <c r="F10" s="5" t="inlineStr">
        <is>
          <t>（3）外罩和内桶颜色不正确;（不强制要求垃圾桶套袋，若套袋的，收集容器应按垃圾类别对应颜色套袋）(-2)（5处问题）</t>
        </is>
      </c>
      <c r="G10">
        <f>HYPERLINK("https://yueling-buddy.github.io/xxr-inspection-album/weeks/2026-09-03/venue/v-%E5%B9%BF%E4%B8%9C%E7%9C%81%E6%B7%B1%E5%9C%B3%E5%B8%82%E9%BE%99%E5%8D%8E%E5%8C%BA%E6%B0%91%E6%B2%BB%E8%A1%97%E9%81%93%E8%85%BE%E9%BE%99%E8%B7%AF124%E5%A4%A9%E8%99%B9%E8%B4%AD%E7%89%A9%E4%B8%AD%E5%BF%83_%E9%BE%99%E5%8D%8E%E5%BA%97_%E4%B8%AD%E8%88%AA%E5%A4%A9%E9%80%B8%E7%AE%A1%E7%90%86%E5%A4%84.html","查看证据")</f>
        <v/>
      </c>
    </row>
    <row r="11">
      <c r="A11" t="inlineStr">
        <is>
          <t>住宅小区</t>
        </is>
      </c>
      <c r="B11" t="inlineStr">
        <is>
          <t>中航天逸管理处</t>
        </is>
      </c>
      <c r="C11" t="inlineStr">
        <is>
          <t>1.6</t>
        </is>
      </c>
      <c r="D11" s="5" t="inlineStr">
        <is>
          <t>设置洗手设施。（2分）</t>
        </is>
      </c>
      <c r="E11" t="inlineStr">
        <is>
          <t>-1</t>
        </is>
      </c>
      <c r="F11" s="5" t="inlineStr">
        <is>
          <t>（3）洗手设施不规范（包括水龙头损坏或明显松动，水龙头不出水，洗手盆堵塞等）(-1)（1处问题）</t>
        </is>
      </c>
      <c r="G11">
        <f>HYPERLINK("https://yueling-buddy.github.io/xxr-inspection-album/weeks/2026-09-03/venue/v-%E5%B9%BF%E4%B8%9C%E7%9C%81%E6%B7%B1%E5%9C%B3%E5%B8%82%E9%BE%99%E5%8D%8E%E5%8C%BA%E6%B0%91%E6%B2%BB%E8%A1%97%E9%81%93%E8%85%BE%E9%BE%99%E8%B7%AF124%E5%A4%A9%E8%99%B9%E8%B4%AD%E7%89%A9%E4%B8%AD%E5%BF%83_%E9%BE%99%E5%8D%8E%E5%BA%97_%E4%B8%AD%E8%88%AA%E5%A4%A9%E9%80%B8%E7%AE%A1%E7%90%86%E5%A4%84.html","查看证据")</f>
        <v/>
      </c>
    </row>
    <row r="12">
      <c r="A12" t="inlineStr">
        <is>
          <t>住宅小区</t>
        </is>
      </c>
      <c r="B12" t="inlineStr">
        <is>
          <t>中航天逸管理处</t>
        </is>
      </c>
      <c r="C12" t="inlineStr">
        <is>
          <t>1.16</t>
        </is>
      </c>
      <c r="D12" s="5" t="inlineStr">
        <is>
          <t>禁止通过捆绑、卡挡或上锁等方式封闭或遮挡投放口。（4分）</t>
        </is>
      </c>
      <c r="E12" t="inlineStr">
        <is>
          <t>-4</t>
        </is>
      </c>
      <c r="F12" s="5" t="inlineStr">
        <is>
          <t>（2）投放口被封闭或遮挡(-2)（2处问题）</t>
        </is>
      </c>
      <c r="G12">
        <f>HYPERLINK("https://yueling-buddy.github.io/xxr-inspection-album/weeks/2026-09-03/venue/v-%E5%B9%BF%E4%B8%9C%E7%9C%81%E6%B7%B1%E5%9C%B3%E5%B8%82%E9%BE%99%E5%8D%8E%E5%8C%BA%E6%B0%91%E6%B2%BB%E8%A1%97%E9%81%93%E8%85%BE%E9%BE%99%E8%B7%AF124%E5%A4%A9%E8%99%B9%E8%B4%AD%E7%89%A9%E4%B8%AD%E5%BF%83_%E9%BE%99%E5%8D%8E%E5%BA%97_%E4%B8%AD%E8%88%AA%E5%A4%A9%E9%80%B8%E7%AE%A1%E7%90%86%E5%A4%84.html","查看证据")</f>
        <v/>
      </c>
    </row>
    <row r="13">
      <c r="A13" t="inlineStr">
        <is>
          <t>住宅小区</t>
        </is>
      </c>
      <c r="B13" t="inlineStr">
        <is>
          <t>中航天逸管理处</t>
        </is>
      </c>
      <c r="C13" t="inlineStr">
        <is>
          <t>1.17</t>
        </is>
      </c>
      <c r="D13" s="5" t="inlineStr">
        <is>
          <t>转运桶应在黄线划定区域内摆放整齐并保持全天关闭（作业状态除外），禁止罩外摆桶供居民投放。（6分）</t>
        </is>
      </c>
      <c r="E13" t="inlineStr">
        <is>
          <t>-6</t>
        </is>
      </c>
      <c r="F13" s="5" t="inlineStr">
        <is>
          <t>（3）监控范围外罩外摆桶并开盖供居民投放(-2)（5处问题）</t>
        </is>
      </c>
      <c r="G13">
        <f>HYPERLINK("https://yueling-buddy.github.io/xxr-inspection-album/weeks/2026-09-03/venue/v-%E5%B9%BF%E4%B8%9C%E7%9C%81%E6%B7%B1%E5%9C%B3%E5%B8%82%E9%BE%99%E5%8D%8E%E5%8C%BA%E6%B0%91%E6%B2%BB%E8%A1%97%E9%81%93%E8%85%BE%E9%BE%99%E8%B7%AF124%E5%A4%A9%E8%99%B9%E8%B4%AD%E7%89%A9%E4%B8%AD%E5%BF%83_%E9%BE%99%E5%8D%8E%E5%BA%97_%E4%B8%AD%E8%88%AA%E5%A4%A9%E9%80%B8%E7%AE%A1%E7%90%86%E5%A4%84.html","查看证据")</f>
        <v/>
      </c>
    </row>
    <row r="14">
      <c r="A14" t="inlineStr">
        <is>
          <t>住宅小区</t>
        </is>
      </c>
      <c r="B14" t="inlineStr">
        <is>
          <t>鹏华世家</t>
        </is>
      </c>
      <c r="C14" t="inlineStr">
        <is>
          <t>2.1</t>
        </is>
      </c>
      <c r="D14" s="5" t="inlineStr">
        <is>
          <t>设置标识牌，外观使用“深i回收”标识，封闭围挡，地面硬底化。（2分）</t>
        </is>
      </c>
      <c r="E14" t="inlineStr">
        <is>
          <t>-2</t>
        </is>
      </c>
      <c r="F14" s="5" t="inlineStr">
        <is>
          <t>（3）无标识牌，或标识牌被遮挡、模糊/脱落/未更新等(-2)（1处问题）</t>
        </is>
      </c>
      <c r="G14">
        <f>HYPERLINK("https://yueling-buddy.github.io/xxr-inspection-album/weeks/2026-09-03/venue/v-%E5%B9%BF%E4%B8%9C%E7%9C%81%E6%B7%B1%E5%9C%B3%E5%B8%82%E9%BE%99%E5%B2%97%E5%8C%BA%E5%B9%B3%E6%B9%96%E8%A1%97%E9%81%93%E4%B8%9C%E9%83%BD%E9%9B%85%E8%8B%91%E9%B9%8F%E5%8D%8E%E4%B8%96%E5%AE%B6%E5%8D%8E%E5%BA%9C_%E9%B9%8F%E5%8D%8E%E4%B8%96%E5%AE%B6.html","查看证据")</f>
        <v/>
      </c>
    </row>
    <row r="15">
      <c r="A15" t="inlineStr">
        <is>
          <t>住宅小区</t>
        </is>
      </c>
      <c r="B15" t="inlineStr">
        <is>
          <t>特力商厦</t>
        </is>
      </c>
      <c r="C15" t="inlineStr">
        <is>
          <t>1.13</t>
        </is>
      </c>
      <c r="D15" s="5" t="inlineStr">
        <is>
          <t>收集容器外壁及内桶保持干净整洁，避免陈旧性脏污，收集容器内无积水。（4分）</t>
        </is>
      </c>
      <c r="E15" t="inlineStr">
        <is>
          <t>-2</t>
        </is>
      </c>
      <c r="F15" s="5" t="inlineStr">
        <is>
          <t>（2）收集容器外壁、内桶存在明显陈旧性脏污，大片锈迹等(-2)（1处问题）</t>
        </is>
      </c>
      <c r="G15">
        <f>HYPERLINK("https://yueling-buddy.github.io/xxr-inspection-album/weeks/2026-09-03/venue/v-%E9%BE%99%E5%B2%97%E5%8C%BA%E5%B9%B3%E6%B9%96%E8%A1%97%E9%81%93%E7%89%B9%E5%8A%9B%E5%95%86%E5%8E%A6_%E7%89%B9%E5%8A%9B%E5%95%86%E5%8E%A6.html","查看证据")</f>
        <v/>
      </c>
    </row>
    <row r="16">
      <c r="A16" t="inlineStr">
        <is>
          <t>住宅小区</t>
        </is>
      </c>
      <c r="B16" t="inlineStr">
        <is>
          <t>深华业大厦</t>
        </is>
      </c>
      <c r="C16" t="inlineStr">
        <is>
          <t>1.17</t>
        </is>
      </c>
      <c r="D16" s="5" t="inlineStr">
        <is>
          <t>转运桶应在黄线划定区域内摆放整齐并保持全天关闭（作业状态除外），禁止罩外摆桶供居民投放。（6分）</t>
        </is>
      </c>
      <c r="E16" t="inlineStr">
        <is>
          <t>-2</t>
        </is>
      </c>
      <c r="F16" s="5" t="inlineStr">
        <is>
          <t>（3）监控范围外罩外摆桶并开盖供居民投放(-2)（1处问题）</t>
        </is>
      </c>
      <c r="G16">
        <f>HYPERLINK("https://yueling-buddy.github.io/xxr-inspection-album/weeks/2026-09-03/venue/v-%E9%BE%99%E5%B2%97%E5%8C%BA%E5%B9%B3%E6%B9%96%E8%A1%97%E9%81%93%E6%B7%B1%E5%8D%8E%E4%B8%9A%E5%A4%A7%E5%A4%8F_%E6%B7%B1%E5%8D%8E%E4%B8%9A%E5%A4%A7%E5%8E%A6.html","查看证据")</f>
        <v/>
      </c>
    </row>
    <row r="17">
      <c r="A17" t="inlineStr">
        <is>
          <t>住宅小区</t>
        </is>
      </c>
      <c r="B17" t="inlineStr">
        <is>
          <t>深华业大厦</t>
        </is>
      </c>
      <c r="C17" t="inlineStr">
        <is>
          <t>2.1</t>
        </is>
      </c>
      <c r="D17" s="5" t="inlineStr">
        <is>
          <t>设置标识牌，外观使用“深i回收”标识，封闭围挡，地面硬底化。（2分）</t>
        </is>
      </c>
      <c r="E17" t="inlineStr">
        <is>
          <t>-2</t>
        </is>
      </c>
      <c r="F17" s="5" t="inlineStr">
        <is>
          <t>（3）无标识牌，或标识牌被遮挡、模糊/脱落/未更新等(-2)（1处问题）</t>
        </is>
      </c>
      <c r="G17">
        <f>HYPERLINK("https://yueling-buddy.github.io/xxr-inspection-album/weeks/2026-09-03/venue/v-%E9%BE%99%E5%B2%97%E5%8C%BA%E5%B9%B3%E6%B9%96%E8%A1%97%E9%81%93%E6%B7%B1%E5%8D%8E%E4%B8%9A%E5%A4%A7%E5%A4%8F_%E6%B7%B1%E5%8D%8E%E4%B8%9A%E5%A4%A7%E5%8E%A6.html","查看证据")</f>
        <v/>
      </c>
    </row>
    <row r="18">
      <c r="A18" t="inlineStr">
        <is>
          <t>学校</t>
        </is>
      </c>
      <c r="B18" t="inlineStr">
        <is>
          <t>中心幼儿园</t>
        </is>
      </c>
      <c r="C18" t="inlineStr">
        <is>
          <t>1.6</t>
        </is>
      </c>
      <c r="D18" s="5" t="inlineStr">
        <is>
          <t>各类收集容器的分类标志完整、正确、清晰。 （12分）</t>
        </is>
      </c>
      <c r="E18" t="inlineStr">
        <is>
          <t>-3</t>
        </is>
      </c>
      <c r="F18" s="5" t="inlineStr">
        <is>
          <t>（2）收集容器标志缺失、错误或模糊不清的。（不强制要求垃圾桶套袋，若套袋的，收集容器应按垃圾类别对应颜色套袋）(-3)（1处问题）</t>
        </is>
      </c>
      <c r="G18">
        <f>HYPERLINK("https://yueling-buddy.github.io/xxr-inspection-album/weeks/2026-09-03/venue/v-%E6%B7%B1%E5%9C%B3%E5%B8%82%E9%BE%99%E5%B2%97%E5%8C%BA%E5%B9%B3%E6%B9%96%E8%A1%97%E9%81%93%E6%96%B0%E5%9B%AD%E8%B7%AF89%E5%8F%B7_%E4%B8%AD%E5%BF%83%E5%B9%BC%E5%84%BF%E5%9B%AD.html","查看证据")</f>
        <v/>
      </c>
    </row>
    <row r="19">
      <c r="A19" t="inlineStr">
        <is>
          <t>城中村</t>
        </is>
      </c>
      <c r="B19" t="inlineStr">
        <is>
          <t>应人石石景小区</t>
        </is>
      </c>
      <c r="C19" t="inlineStr">
        <is>
          <t>1.9</t>
        </is>
      </c>
      <c r="D19" s="5" t="inlineStr">
        <is>
          <t>各设施齐全完好，摆放整齐有序，使用功能正常，没有严重破损、陈旧问题，不得拆除投放口盖板支撑杆。（6分）</t>
        </is>
      </c>
      <c r="E19" t="inlineStr">
        <is>
          <t>-2</t>
        </is>
      </c>
      <c r="F19" s="5" t="inlineStr">
        <is>
          <t>（3）内桶错放导致桶盖无法正常打开，未放置垃圾内桶等影响正常使用(-2)（1处问题）</t>
        </is>
      </c>
      <c r="G19">
        <f>HYPERLINK("https://yueling-buddy.github.io/xxr-inspection-album/weeks/2026-09-03/venue/v-%E6%B7%B1%E5%9C%B3%E5%B8%82%E5%AE%9D%E5%AE%89%E5%8C%BA%E7%9F%B3%E5%B2%A9%E8%A1%97%E9%81%93%E7%9F%B3%E6%99%AF%E8%8A%B1%E5%9B%AD_%E5%BA%94%E4%BA%BA%E7%9F%B3%E7%9F%B3%E6%99%AF%E5%B0%8F%E5%8C%BA.html","查看证据")</f>
        <v/>
      </c>
    </row>
    <row r="20">
      <c r="A20" t="inlineStr">
        <is>
          <t>城中村</t>
        </is>
      </c>
      <c r="B20" t="inlineStr">
        <is>
          <t>应人石石景小区</t>
        </is>
      </c>
      <c r="C20" t="inlineStr">
        <is>
          <t>4.5</t>
        </is>
      </c>
      <c r="D20" s="5" t="inlineStr">
        <is>
          <t>回收箱及周边环境干净整洁，无垃圾满溢、暴露垃圾或杂物堆放等问题。（2分）</t>
        </is>
      </c>
      <c r="E20" t="inlineStr">
        <is>
          <t>-2</t>
        </is>
      </c>
      <c r="F20" s="5" t="inlineStr">
        <is>
          <t>（2）周边不干净整洁(-2)（1处问题）</t>
        </is>
      </c>
      <c r="G20">
        <f>HYPERLINK("https://yueling-buddy.github.io/xxr-inspection-album/weeks/2026-09-03/venue/v-%E6%B7%B1%E5%9C%B3%E5%B8%82%E5%AE%9D%E5%AE%89%E5%8C%BA%E7%9F%B3%E5%B2%A9%E8%A1%97%E9%81%93%E7%9F%B3%E6%99%AF%E8%8A%B1%E5%9B%AD_%E5%BA%94%E4%BA%BA%E7%9F%B3%E7%9F%B3%E6%99%AF%E5%B0%8F%E5%8C%BA.html","查看证据")</f>
        <v/>
      </c>
    </row>
    <row r="21">
      <c r="A21" t="inlineStr">
        <is>
          <t>住宅小区</t>
        </is>
      </c>
      <c r="B21" t="inlineStr">
        <is>
          <t>平湖花园</t>
        </is>
      </c>
      <c r="C21" t="inlineStr">
        <is>
          <t>1.14</t>
        </is>
      </c>
      <c r="D21" s="5" t="inlineStr">
        <is>
          <t>各类垃圾及时清运，投放点及其周围环境干净整洁，没有垃圾满溢、暴露垃圾、杂物堆放、严重积水或明显异味等问题。（6分）</t>
        </is>
      </c>
      <c r="E21" t="inlineStr">
        <is>
          <t>-2</t>
        </is>
      </c>
      <c r="F21" s="5" t="inlineStr">
        <is>
          <t>（3）环境卫生不整洁（投放点有暴露垃圾、杂物堆放，洗手池严重脏污，地面未硬底化，有明显污水污渍等）(-2)（1处问题）</t>
        </is>
      </c>
      <c r="G21">
        <f>HYPERLINK("https://yueling-buddy.github.io/xxr-inspection-album/weeks/2026-09-03/venue/v-%E9%BE%99%E5%B2%97%E5%8C%BA%E5%B9%B3%E6%B9%96%E8%A1%97%E9%81%93%E5%B9%B3%E6%B9%96%E8%8A%B1%E5%9B%AD_%E5%B9%B3%E6%B9%96%E8%8A%B1%E5%9B%AD.html","查看证据")</f>
        <v/>
      </c>
    </row>
    <row r="22">
      <c r="A22" t="inlineStr">
        <is>
          <t>住宅小区</t>
        </is>
      </c>
      <c r="B22" t="inlineStr">
        <is>
          <t>平湖花园</t>
        </is>
      </c>
      <c r="C22" t="inlineStr">
        <is>
          <t>1.17</t>
        </is>
      </c>
      <c r="D22" s="5" t="inlineStr">
        <is>
          <t>转运桶应在黄线划定区域内摆放整齐并保持全天关闭（作业状态除外），禁止罩外摆桶供居民投放。（6分）</t>
        </is>
      </c>
      <c r="E22" t="inlineStr">
        <is>
          <t>-2</t>
        </is>
      </c>
      <c r="F22" s="5" t="inlineStr">
        <is>
          <t>（3）监控范围外罩外摆桶并开盖供居民投放(-2)（1处问题）</t>
        </is>
      </c>
      <c r="G22">
        <f>HYPERLINK("https://yueling-buddy.github.io/xxr-inspection-album/weeks/2026-09-03/venue/v-%E9%BE%99%E5%B2%97%E5%8C%BA%E5%B9%B3%E6%B9%96%E8%A1%97%E9%81%93%E5%B9%B3%E6%B9%96%E8%8A%B1%E5%9B%AD_%E5%B9%B3%E6%B9%96%E8%8A%B1%E5%9B%AD.html","查看证据")</f>
        <v/>
      </c>
    </row>
    <row r="23">
      <c r="A23" t="inlineStr">
        <is>
          <t>住宅小区</t>
        </is>
      </c>
      <c r="B23" t="inlineStr">
        <is>
          <t>平湖花园</t>
        </is>
      </c>
      <c r="C23" t="inlineStr">
        <is>
          <t>2.4</t>
        </is>
      </c>
      <c r="D23" s="5" t="inlineStr">
        <is>
          <t>暂存点及其周围环境干净整洁，没有污水积聚或散落垃圾，禁止存放易燃易爆危险品，禁止违规接电、住人。（2分）</t>
        </is>
      </c>
      <c r="E23" t="inlineStr">
        <is>
          <t>-2</t>
        </is>
      </c>
      <c r="F23" s="5" t="inlineStr">
        <is>
          <t>（4）暂存点外堆放废旧家具等大件垃圾(-2)（1处问题）</t>
        </is>
      </c>
      <c r="G23">
        <f>HYPERLINK("https://yueling-buddy.github.io/xxr-inspection-album/weeks/2026-09-03/venue/v-%E9%BE%99%E5%B2%97%E5%8C%BA%E5%B9%B3%E6%B9%96%E8%A1%97%E9%81%93%E5%B9%B3%E6%B9%96%E8%8A%B1%E5%9B%AD_%E5%B9%B3%E6%B9%96%E8%8A%B1%E5%9B%AD.html","查看证据")</f>
        <v/>
      </c>
    </row>
    <row r="24">
      <c r="A24" t="inlineStr">
        <is>
          <t>城中村</t>
        </is>
      </c>
      <c r="B24" t="inlineStr">
        <is>
          <t>围背小区</t>
        </is>
      </c>
      <c r="C24" t="inlineStr">
        <is>
          <t>1.1</t>
        </is>
      </c>
      <c r="D24" s="5" t="inlineStr">
        <is>
          <t>设置集中分类投放点，摆放可回收物、厨余垃圾、其他垃圾三类收集容器。（6分）</t>
        </is>
      </c>
      <c r="E24" t="inlineStr">
        <is>
          <t>-2</t>
        </is>
      </c>
      <c r="F24" s="5" t="inlineStr">
        <is>
          <t>（2）分类收集容器缺失(-2)（1处问题）</t>
        </is>
      </c>
      <c r="G24">
        <f>HYPERLINK("https://yueling-buddy.github.io/xxr-inspection-album/weeks/2026-09-03/venue/v-%E5%B9%BF%E4%B8%9C%E7%9C%81%E6%B7%B1%E5%9C%B3%E5%B8%82%E7%9F%B3%E5%B2%A9%E8%A1%97%E9%81%93%E5%A1%98%E5%A4%B4%E7%A4%BE%E5%8C%BA%E5%A1%98%E5%A4%B4%E5%9B%B4%E8%83%8C%E5%B0%8F%E5%8C%BA_%E5%9B%B4%E8%83%8C%E5%B0%8F%E5%8C%BA.html","查看证据")</f>
        <v/>
      </c>
    </row>
    <row r="25">
      <c r="A25" t="inlineStr">
        <is>
          <t>城中村</t>
        </is>
      </c>
      <c r="B25" t="inlineStr">
        <is>
          <t>围背小区</t>
        </is>
      </c>
      <c r="C25" t="inlineStr">
        <is>
          <t>1.5</t>
        </is>
      </c>
      <c r="D25" s="5" t="inlineStr">
        <is>
          <t>分类标志完整、正确、清晰，各类垃圾收集容器外罩和内桶的颜色正确。（4分）</t>
        </is>
      </c>
      <c r="E25" t="inlineStr">
        <is>
          <t>-2</t>
        </is>
      </c>
      <c r="F25" s="5" t="inlineStr">
        <is>
          <t>（3）外罩和内桶颜色不正确;（不强制要求垃圾桶套袋，若套袋的，收集容器应按垃圾类别对应颜色套袋）(-2)（1处问题）</t>
        </is>
      </c>
      <c r="G25">
        <f>HYPERLINK("https://yueling-buddy.github.io/xxr-inspection-album/weeks/2026-09-03/venue/v-%E5%B9%BF%E4%B8%9C%E7%9C%81%E6%B7%B1%E5%9C%B3%E5%B8%82%E7%9F%B3%E5%B2%A9%E8%A1%97%E9%81%93%E5%A1%98%E5%A4%B4%E7%A4%BE%E5%8C%BA%E5%A1%98%E5%A4%B4%E5%9B%B4%E8%83%8C%E5%B0%8F%E5%8C%BA_%E5%9B%B4%E8%83%8C%E5%B0%8F%E5%8C%BA.html","查看证据")</f>
        <v/>
      </c>
    </row>
    <row r="26">
      <c r="A26" t="inlineStr">
        <is>
          <t>城中村</t>
        </is>
      </c>
      <c r="B26" t="inlineStr">
        <is>
          <t>围背小区</t>
        </is>
      </c>
      <c r="C26" t="inlineStr">
        <is>
          <t>1.6</t>
        </is>
      </c>
      <c r="D26" s="5" t="inlineStr">
        <is>
          <t>设置洗手设施。（2分）</t>
        </is>
      </c>
      <c r="E26" t="inlineStr">
        <is>
          <t>-2</t>
        </is>
      </c>
      <c r="F26" s="5" t="inlineStr">
        <is>
          <t>（3）洗手设施不规范（包括水龙头损坏或明显松动，水龙头不出水，洗手盆堵塞等）(-1)（2处问题）</t>
        </is>
      </c>
      <c r="G26">
        <f>HYPERLINK("https://yueling-buddy.github.io/xxr-inspection-album/weeks/2026-09-03/venue/v-%E5%B9%BF%E4%B8%9C%E7%9C%81%E6%B7%B1%E5%9C%B3%E5%B8%82%E7%9F%B3%E5%B2%A9%E8%A1%97%E9%81%93%E5%A1%98%E5%A4%B4%E7%A4%BE%E5%8C%BA%E5%A1%98%E5%A4%B4%E5%9B%B4%E8%83%8C%E5%B0%8F%E5%8C%BA_%E5%9B%B4%E8%83%8C%E5%B0%8F%E5%8C%BA.html","查看证据")</f>
        <v/>
      </c>
    </row>
    <row r="27">
      <c r="A27" t="inlineStr">
        <is>
          <t>城中村</t>
        </is>
      </c>
      <c r="B27" t="inlineStr">
        <is>
          <t>围背小区</t>
        </is>
      </c>
      <c r="C27" t="inlineStr">
        <is>
          <t>1.9</t>
        </is>
      </c>
      <c r="D27" s="5" t="inlineStr">
        <is>
          <t>各设施齐全完好，摆放整齐有序，使用功能正常，没有严重破损、陈旧问题，不得拆除投放口盖板支撑杆。（6分）</t>
        </is>
      </c>
      <c r="E27" t="inlineStr">
        <is>
          <t>-2</t>
        </is>
      </c>
      <c r="F27" s="5" t="inlineStr">
        <is>
          <t>（3）内桶错放导致桶盖无法正常打开，未放置垃圾内桶等影响正常使用(-2)（1处问题）</t>
        </is>
      </c>
      <c r="G27">
        <f>HYPERLINK("https://yueling-buddy.github.io/xxr-inspection-album/weeks/2026-09-03/venue/v-%E5%B9%BF%E4%B8%9C%E7%9C%81%E6%B7%B1%E5%9C%B3%E5%B8%82%E7%9F%B3%E5%B2%A9%E8%A1%97%E9%81%93%E5%A1%98%E5%A4%B4%E7%A4%BE%E5%8C%BA%E5%A1%98%E5%A4%B4%E5%9B%B4%E8%83%8C%E5%B0%8F%E5%8C%BA_%E5%9B%B4%E8%83%8C%E5%B0%8F%E5%8C%BA.html","查看证据")</f>
        <v/>
      </c>
    </row>
    <row r="28">
      <c r="A28" t="inlineStr">
        <is>
          <t>城中村</t>
        </is>
      </c>
      <c r="B28" t="inlineStr">
        <is>
          <t>围背小区</t>
        </is>
      </c>
      <c r="C28" t="inlineStr">
        <is>
          <t>1.12</t>
        </is>
      </c>
      <c r="D28" s="5" t="inlineStr">
        <is>
          <t>桶柜式垃圾投放点柜门应全天保持关闭（作业状态除外）。（4分）</t>
        </is>
      </c>
      <c r="E28" t="inlineStr">
        <is>
          <t>-2</t>
        </is>
      </c>
      <c r="F28" s="5" t="inlineStr">
        <is>
          <t>（2）柜门未保持关闭(-2)（1处问题）</t>
        </is>
      </c>
      <c r="G28">
        <f>HYPERLINK("https://yueling-buddy.github.io/xxr-inspection-album/weeks/2026-09-03/venue/v-%E5%B9%BF%E4%B8%9C%E7%9C%81%E6%B7%B1%E5%9C%B3%E5%B8%82%E7%9F%B3%E5%B2%A9%E8%A1%97%E9%81%93%E5%A1%98%E5%A4%B4%E7%A4%BE%E5%8C%BA%E5%A1%98%E5%A4%B4%E5%9B%B4%E8%83%8C%E5%B0%8F%E5%8C%BA_%E5%9B%B4%E8%83%8C%E5%B0%8F%E5%8C%BA.html","查看证据")</f>
        <v/>
      </c>
    </row>
    <row r="29">
      <c r="A29" t="inlineStr">
        <is>
          <t>城中村</t>
        </is>
      </c>
      <c r="B29" t="inlineStr">
        <is>
          <t>围背小区</t>
        </is>
      </c>
      <c r="C29" t="inlineStr">
        <is>
          <t>1.13</t>
        </is>
      </c>
      <c r="D29" s="5" t="inlineStr">
        <is>
          <t>收集容器外壁及内桶保持干净整洁，避免陈旧性脏污，收集容器内无积水。（6分）</t>
        </is>
      </c>
      <c r="E29" t="inlineStr">
        <is>
          <t>-3</t>
        </is>
      </c>
      <c r="F29" s="5" t="inlineStr">
        <is>
          <t>（2）收集容器外壁、内桶存在明显陈旧性脏污，大片锈迹等(-3)（1处问题）</t>
        </is>
      </c>
      <c r="G29">
        <f>HYPERLINK("https://yueling-buddy.github.io/xxr-inspection-album/weeks/2026-09-03/venue/v-%E5%B9%BF%E4%B8%9C%E7%9C%81%E6%B7%B1%E5%9C%B3%E5%B8%82%E7%9F%B3%E5%B2%A9%E8%A1%97%E9%81%93%E5%A1%98%E5%A4%B4%E7%A4%BE%E5%8C%BA%E5%A1%98%E5%A4%B4%E5%9B%B4%E8%83%8C%E5%B0%8F%E5%8C%BA_%E5%9B%B4%E8%83%8C%E5%B0%8F%E5%8C%BA.html","查看证据")</f>
        <v/>
      </c>
    </row>
    <row r="30">
      <c r="A30" t="inlineStr">
        <is>
          <t>城中村</t>
        </is>
      </c>
      <c r="B30" t="inlineStr">
        <is>
          <t>围背小区</t>
        </is>
      </c>
      <c r="C30" t="inlineStr">
        <is>
          <t>1.16</t>
        </is>
      </c>
      <c r="D30" s="5" t="inlineStr">
        <is>
          <t>禁止通过捆绑、卡挡或上锁等方式封闭或遮挡投放口。（4分）</t>
        </is>
      </c>
      <c r="E30" t="inlineStr">
        <is>
          <t>-2</t>
        </is>
      </c>
      <c r="F30" s="5" t="inlineStr">
        <is>
          <t>（4）误时投放点未开放(-2)（1处问题）</t>
        </is>
      </c>
      <c r="G30">
        <f>HYPERLINK("https://yueling-buddy.github.io/xxr-inspection-album/weeks/2026-09-03/venue/v-%E5%B9%BF%E4%B8%9C%E7%9C%81%E6%B7%B1%E5%9C%B3%E5%B8%82%E7%9F%B3%E5%B2%A9%E8%A1%97%E9%81%93%E5%A1%98%E5%A4%B4%E7%A4%BE%E5%8C%BA%E5%A1%98%E5%A4%B4%E5%9B%B4%E8%83%8C%E5%B0%8F%E5%8C%BA_%E5%9B%B4%E8%83%8C%E5%B0%8F%E5%8C%BA.html","查看证据")</f>
        <v/>
      </c>
    </row>
    <row r="31">
      <c r="A31" t="inlineStr">
        <is>
          <t>城中村</t>
        </is>
      </c>
      <c r="B31" t="inlineStr">
        <is>
          <t>围背小区</t>
        </is>
      </c>
      <c r="C31" t="inlineStr">
        <is>
          <t>1.17</t>
        </is>
      </c>
      <c r="D31" s="5" t="inlineStr">
        <is>
          <t>转运桶应在黄线划定区域内摆放整齐并保持全天关闭（作业状态除外），禁止罩外摆桶供居民投放。（6分）</t>
        </is>
      </c>
      <c r="E31" t="inlineStr">
        <is>
          <t>-4</t>
        </is>
      </c>
      <c r="F31" s="5" t="inlineStr">
        <is>
          <t>（3）监控范围外罩外摆桶并开盖供居民投放(-2)（2处问题）</t>
        </is>
      </c>
      <c r="G31">
        <f>HYPERLINK("https://yueling-buddy.github.io/xxr-inspection-album/weeks/2026-09-03/venue/v-%E5%B9%BF%E4%B8%9C%E7%9C%81%E6%B7%B1%E5%9C%B3%E5%B8%82%E7%9F%B3%E5%B2%A9%E8%A1%97%E9%81%93%E5%A1%98%E5%A4%B4%E7%A4%BE%E5%8C%BA%E5%A1%98%E5%A4%B4%E5%9B%B4%E8%83%8C%E5%B0%8F%E5%8C%BA_%E5%9B%B4%E8%83%8C%E5%B0%8F%E5%8C%BA.html","查看证据")</f>
        <v/>
      </c>
    </row>
    <row r="32">
      <c r="A32" t="inlineStr">
        <is>
          <t>住宅小区</t>
        </is>
      </c>
      <c r="B32" t="inlineStr">
        <is>
          <t>锦冠华庭</t>
        </is>
      </c>
      <c r="C32" t="inlineStr">
        <is>
          <t>1.5</t>
        </is>
      </c>
      <c r="D32" s="5" t="inlineStr">
        <is>
          <t>分类标志完整、正确、清晰，各类垃圾收集容器外罩和内桶的颜色正确。（4分）</t>
        </is>
      </c>
      <c r="E32" t="inlineStr">
        <is>
          <t>-2</t>
        </is>
      </c>
      <c r="F32" s="5" t="inlineStr">
        <is>
          <t>（2）分类桶标志缺失或不规范（标志未更新、标志错误、标志模糊等）(-2)（1处问题）</t>
        </is>
      </c>
      <c r="G32">
        <f>HYPERLINK("https://yueling-buddy.github.io/xxr-inspection-album/weeks/2026-09-03/venue/v-%E9%BE%99%E5%B2%97%E5%8C%BA%E5%B9%B3%E6%B9%96%E8%A1%97%E9%81%93%E9%94%A6%E5%86%A0%E5%8D%8E%E5%BA%AD_%E9%94%A6%E5%86%A0%E5%8D%8E%E5%BA%AD.html","查看证据")</f>
        <v/>
      </c>
    </row>
    <row r="33">
      <c r="A33" t="inlineStr">
        <is>
          <t>住宅小区</t>
        </is>
      </c>
      <c r="B33" t="inlineStr">
        <is>
          <t>锦冠华庭</t>
        </is>
      </c>
      <c r="C33" t="inlineStr">
        <is>
          <t>1.14</t>
        </is>
      </c>
      <c r="D33" s="5" t="inlineStr">
        <is>
          <t>各类垃圾及时清运，投放点及其周围环境干净整洁，没有垃圾满溢、暴露垃圾、杂物堆放、严重积水或明显异味等问题。（6分）</t>
        </is>
      </c>
      <c r="E33" t="inlineStr">
        <is>
          <t>-2</t>
        </is>
      </c>
      <c r="F33" s="5" t="inlineStr">
        <is>
          <t>（3）环境卫生不整洁（投放点有暴露垃圾、杂物堆放，洗手池严重脏污，地面未硬底化，有明显污水污渍等）(-2)（1处问题）</t>
        </is>
      </c>
      <c r="G33">
        <f>HYPERLINK("https://yueling-buddy.github.io/xxr-inspection-album/weeks/2026-09-03/venue/v-%E9%BE%99%E5%B2%97%E5%8C%BA%E5%B9%B3%E6%B9%96%E8%A1%97%E9%81%93%E9%94%A6%E5%86%A0%E5%8D%8E%E5%BA%AD_%E9%94%A6%E5%86%A0%E5%8D%8E%E5%BA%AD.html","查看证据")</f>
        <v/>
      </c>
    </row>
    <row r="34">
      <c r="A34" t="inlineStr">
        <is>
          <t>城中村</t>
        </is>
      </c>
      <c r="B34" t="inlineStr">
        <is>
          <t>塘头又一村</t>
        </is>
      </c>
      <c r="C34" t="inlineStr">
        <is>
          <t>1.8</t>
        </is>
      </c>
      <c r="D34" s="5" t="inlineStr">
        <is>
          <t>设置公示牌，清晰公示管理责任人和电话、专项垃圾暂存点和废旧织物回收箱位置、厨余垃圾投放时段、各类垃圾收运处理企业等信息。（4分）</t>
        </is>
      </c>
      <c r="E34" t="inlineStr">
        <is>
          <t>-4</t>
        </is>
      </c>
      <c r="F34" s="5" t="inlineStr">
        <is>
          <t>（3）公示牌设置不规范（公示牌脱落、内容缺失、错误或模糊等）(-2)（2处问题）</t>
        </is>
      </c>
      <c r="G34">
        <f>HYPERLINK("https://yueling-buddy.github.io/xxr-inspection-album/weeks/2026-09-03/venue/v-%E5%B9%BF%E4%B8%9C%E7%9C%81%E6%B7%B1%E5%9C%B3%E5%B8%82%E5%AE%9D%E5%AE%89%E5%8C%BA%E7%9F%B3%E5%B2%A9%E8%A1%97%E9%81%93%E5%A1%98%E5%A4%B4%E5%8F%88%E4%B8%80%E6%9D%91_%E5%A1%98%E5%A4%B4%E5%8F%88%E4%B8%80%E6%9D%91.html","查看证据")</f>
        <v/>
      </c>
    </row>
    <row r="35">
      <c r="A35" t="inlineStr">
        <is>
          <t>城中村</t>
        </is>
      </c>
      <c r="B35" t="inlineStr">
        <is>
          <t>塘头又一村</t>
        </is>
      </c>
      <c r="C35" t="inlineStr">
        <is>
          <t>2.4</t>
        </is>
      </c>
      <c r="D35" s="5" t="inlineStr">
        <is>
          <t>暂存点及其周围环境干净整洁，没有污水积聚或散落垃圾，禁止存放易燃易爆危险品，禁止违规接电、住人。（2分）</t>
        </is>
      </c>
      <c r="E35" t="inlineStr">
        <is>
          <t>-2</t>
        </is>
      </c>
      <c r="F35" s="5" t="inlineStr">
        <is>
          <t>（2）暂存点及周围环境不整洁（垃圾堆放杂乱、垃圾散落、地面污水积聚等）(-2)（1处问题）</t>
        </is>
      </c>
      <c r="G35">
        <f>HYPERLINK("https://yueling-buddy.github.io/xxr-inspection-album/weeks/2026-09-03/venue/v-%E5%B9%BF%E4%B8%9C%E7%9C%81%E6%B7%B1%E5%9C%B3%E5%B8%82%E5%AE%9D%E5%AE%89%E5%8C%BA%E7%9F%B3%E5%B2%A9%E8%A1%97%E9%81%93%E5%A1%98%E5%A4%B4%E5%8F%88%E4%B8%80%E6%9D%91_%E5%A1%98%E5%A4%B4%E5%8F%88%E4%B8%80%E6%9D%91.html","查看证据")</f>
        <v/>
      </c>
    </row>
    <row r="36">
      <c r="A36" t="inlineStr">
        <is>
          <t>城中村</t>
        </is>
      </c>
      <c r="B36" t="inlineStr">
        <is>
          <t>塘头又一村</t>
        </is>
      </c>
      <c r="C36" t="inlineStr">
        <is>
          <t>4.5</t>
        </is>
      </c>
      <c r="D36" s="5" t="inlineStr">
        <is>
          <t>回收箱及周边环境干净整洁，无垃圾满溢、暴露垃圾或杂物堆放等问题。（2分）</t>
        </is>
      </c>
      <c r="E36" t="inlineStr">
        <is>
          <t>-2</t>
        </is>
      </c>
      <c r="F36" s="5" t="inlineStr">
        <is>
          <t>（2）周边不干净整洁(-2)（1处问题）</t>
        </is>
      </c>
      <c r="G36">
        <f>HYPERLINK("https://yueling-buddy.github.io/xxr-inspection-album/weeks/2026-09-03/venue/v-%E5%B9%BF%E4%B8%9C%E7%9C%81%E6%B7%B1%E5%9C%B3%E5%B8%82%E5%AE%9D%E5%AE%89%E5%8C%BA%E7%9F%B3%E5%B2%A9%E8%A1%97%E9%81%93%E5%A1%98%E5%A4%B4%E5%8F%88%E4%B8%80%E6%9D%91_%E5%A1%98%E5%A4%B4%E5%8F%88%E4%B8%80%E6%9D%91.html","查看证据")</f>
        <v/>
      </c>
    </row>
    <row r="37">
      <c r="A37" t="inlineStr">
        <is>
          <t>集贸市场</t>
        </is>
      </c>
      <c r="B37" t="inlineStr">
        <is>
          <t>荔园市场</t>
        </is>
      </c>
      <c r="C37" t="inlineStr">
        <is>
          <t>1.3</t>
        </is>
      </c>
      <c r="D37" s="5" t="inlineStr">
        <is>
          <t>各类收集容器的分类标志完整、正确、清晰。</t>
        </is>
      </c>
      <c r="E37" t="inlineStr">
        <is>
          <t>-3</t>
        </is>
      </c>
      <c r="F37" s="5" t="inlineStr">
        <is>
          <t>（2）收集容器标志缺失、错误或模糊不清的。（不强制要求垃圾桶套袋，若套袋的，收集容器应按垃圾类别对应颜色套袋）(-3)（1处问题）</t>
        </is>
      </c>
      <c r="G37">
        <f>HYPERLINK("https://yueling-buddy.github.io/xxr-inspection-album/weeks/2026-09-03/venue/v-%E9%BE%99%E5%B2%97%E5%8C%BA%E8%A3%95%E5%92%8C%E5%8D%97%E8%A1%972_38%E5%8F%B7_%E8%8D%94%E5%9B%AD%E5%B8%82%E5%9C%BA.html","查看证据")</f>
        <v/>
      </c>
    </row>
    <row r="38">
      <c r="A38" t="inlineStr">
        <is>
          <t>集贸市场</t>
        </is>
      </c>
      <c r="B38" t="inlineStr">
        <is>
          <t>荔园市场</t>
        </is>
      </c>
      <c r="C38" t="inlineStr">
        <is>
          <t>1.4</t>
        </is>
      </c>
      <c r="D38" s="5" t="inlineStr">
        <is>
          <t>各设施齐全完好，摆放整齐有序，使用功能正常，没有严重破损、陈旧问题。</t>
        </is>
      </c>
      <c r="E38" t="inlineStr">
        <is>
          <t>-3</t>
        </is>
      </c>
      <c r="F38" s="5" t="inlineStr">
        <is>
          <t>（2）分类设施损坏或摆放不整齐，内桶错放导致桶盖无法正常打开，未放置垃圾内桶等影响正常使用(-3)（1处问题）</t>
        </is>
      </c>
      <c r="G38">
        <f>HYPERLINK("https://yueling-buddy.github.io/xxr-inspection-album/weeks/2026-09-03/venue/v-%E9%BE%99%E5%B2%97%E5%8C%BA%E8%A3%95%E5%92%8C%E5%8D%97%E8%A1%972_38%E5%8F%B7_%E8%8D%94%E5%9B%AD%E5%B8%82%E5%9C%BA.html","查看证据")</f>
        <v/>
      </c>
    </row>
    <row r="39">
      <c r="A39" t="inlineStr">
        <is>
          <t>集贸市场</t>
        </is>
      </c>
      <c r="B39" t="inlineStr">
        <is>
          <t>荔园市场</t>
        </is>
      </c>
      <c r="C39" t="inlineStr">
        <is>
          <t>2.2</t>
        </is>
      </c>
      <c r="D39" s="5" t="inlineStr">
        <is>
          <t>收集容器、暂存点及其周围环境干净整洁，无垃圾满溢、暴露垃圾，无杂物堆放。</t>
        </is>
      </c>
      <c r="E39" t="inlineStr">
        <is>
          <t>-3</t>
        </is>
      </c>
      <c r="F39" s="5" t="inlineStr">
        <is>
          <t>（3）环境卫生不整洁（投放点有散落垃圾、杂物堆放，地面有明显污水污渍等）(-3)（1处问题）</t>
        </is>
      </c>
      <c r="G39">
        <f>HYPERLINK("https://yueling-buddy.github.io/xxr-inspection-album/weeks/2026-09-03/venue/v-%E9%BE%99%E5%B2%97%E5%8C%BA%E8%A3%95%E5%92%8C%E5%8D%97%E8%A1%972_38%E5%8F%B7_%E8%8D%94%E5%9B%AD%E5%B8%82%E5%9C%BA.html","查看证据")</f>
        <v/>
      </c>
    </row>
    <row r="40">
      <c r="A40" t="inlineStr">
        <is>
          <t>住宅小区</t>
        </is>
      </c>
      <c r="B40" t="inlineStr">
        <is>
          <t>鲁班大厦</t>
        </is>
      </c>
      <c r="C40" t="inlineStr">
        <is>
          <t>1.5</t>
        </is>
      </c>
      <c r="D40" s="5" t="inlineStr">
        <is>
          <t>分类标志完整、正确、清晰，各类垃圾收集容器外罩和内桶的颜色正确。（4分）</t>
        </is>
      </c>
      <c r="E40" t="inlineStr">
        <is>
          <t>-2</t>
        </is>
      </c>
      <c r="F40" s="5" t="inlineStr">
        <is>
          <t>（3）外罩和内桶颜色不正确;（不强制要求垃圾桶套袋，若套袋的，收集容器应按垃圾类别对应颜色套袋）(-2)（1处问题）</t>
        </is>
      </c>
      <c r="G40">
        <f>HYPERLINK("https://yueling-buddy.github.io/xxr-inspection-album/weeks/2026-09-03/venue/v-%E7%A6%8F%E7%94%B0%E5%8C%BA%E7%BA%A2%E8%8D%94%E8%A5%BF%E8%B7%AF7022%E5%8F%B7_%E9%B2%81%E7%8F%AD%E5%A4%A7%E5%8E%A6.html","查看证据")</f>
        <v/>
      </c>
    </row>
    <row r="41">
      <c r="A41" t="inlineStr">
        <is>
          <t>住宅小区</t>
        </is>
      </c>
      <c r="B41" t="inlineStr">
        <is>
          <t>鲁班大厦</t>
        </is>
      </c>
      <c r="C41" t="inlineStr">
        <is>
          <t>1.14</t>
        </is>
      </c>
      <c r="D41" s="5" t="inlineStr">
        <is>
          <t>各类垃圾及时清运，投放点及其周围环境干净整洁，没有垃圾满溢、暴露垃圾、杂物堆放、严重积水或明显异味等问题。（6分）</t>
        </is>
      </c>
      <c r="E41" t="inlineStr">
        <is>
          <t>-2</t>
        </is>
      </c>
      <c r="F41" s="5" t="inlineStr">
        <is>
          <t>（2）垃圾收集容器满溢、未及时清运(-2)（1处问题）</t>
        </is>
      </c>
      <c r="G41">
        <f>HYPERLINK("https://yueling-buddy.github.io/xxr-inspection-album/weeks/2026-09-03/venue/v-%E7%A6%8F%E7%94%B0%E5%8C%BA%E7%BA%A2%E8%8D%94%E8%A5%BF%E8%B7%AF7022%E5%8F%B7_%E9%B2%81%E7%8F%AD%E5%A4%A7%E5%8E%A6.html","查看证据")</f>
        <v/>
      </c>
    </row>
    <row r="42">
      <c r="A42" t="inlineStr">
        <is>
          <t>住宅小区</t>
        </is>
      </c>
      <c r="B42" t="inlineStr">
        <is>
          <t>鲁班大厦</t>
        </is>
      </c>
      <c r="C42" t="inlineStr">
        <is>
          <t>1.17</t>
        </is>
      </c>
      <c r="D42" s="5" t="inlineStr">
        <is>
          <t>转运桶应在黄线划定区域内摆放整齐并保持全天关闭（作业状态除外），禁止罩外摆桶供居民投放。（6分）</t>
        </is>
      </c>
      <c r="E42" t="inlineStr">
        <is>
          <t>-2</t>
        </is>
      </c>
      <c r="F42" s="5" t="inlineStr">
        <is>
          <t>（3）监控范围外罩外摆桶并开盖供居民投放(-2)（1处问题）</t>
        </is>
      </c>
      <c r="G42">
        <f>HYPERLINK("https://yueling-buddy.github.io/xxr-inspection-album/weeks/2026-09-03/venue/v-%E7%A6%8F%E7%94%B0%E5%8C%BA%E7%BA%A2%E8%8D%94%E8%A5%BF%E8%B7%AF7022%E5%8F%B7_%E9%B2%81%E7%8F%AD%E5%A4%A7%E5%8E%A6.html","查看证据")</f>
        <v/>
      </c>
    </row>
    <row r="43">
      <c r="A43" t="inlineStr">
        <is>
          <t>住宅小区</t>
        </is>
      </c>
      <c r="B43" t="inlineStr">
        <is>
          <t>市政大院</t>
        </is>
      </c>
      <c r="C43" t="inlineStr">
        <is>
          <t>1.1</t>
        </is>
      </c>
      <c r="D43" s="5" t="inlineStr">
        <is>
          <t>设置集中分类投放点，摆放可回收物、厨余垃圾、其他垃圾三类收集容器。（6分）</t>
        </is>
      </c>
      <c r="E43" t="inlineStr">
        <is>
          <t>-2</t>
        </is>
      </c>
      <c r="F43" s="5" t="inlineStr">
        <is>
          <t>（2）分类收集容器缺失(-2)（1处问题）</t>
        </is>
      </c>
      <c r="G43">
        <f>HYPERLINK("https://yueling-buddy.github.io/xxr-inspection-album/weeks/2026-09-03/venue/v-%E7%A6%8F%E7%94%B0%E5%8C%BA%E7%BA%A2%E8%8D%94%E8%A5%BF%E8%B7%AF7024%E5%8F%B7_%E5%B8%82%E6%94%BF%E5%A4%A7%E9%99%A2.html","查看证据")</f>
        <v/>
      </c>
    </row>
    <row r="44">
      <c r="A44" t="inlineStr">
        <is>
          <t>住宅小区</t>
        </is>
      </c>
      <c r="B44" t="inlineStr">
        <is>
          <t>市政大院</t>
        </is>
      </c>
      <c r="C44" t="inlineStr">
        <is>
          <t>1.9</t>
        </is>
      </c>
      <c r="D44" s="5" t="inlineStr">
        <is>
          <t>各设施齐全完好，摆放整齐有序，使用功能正常，没有严重破损、陈旧问题，不得拆除投放口盖板支撑杆。（6分）</t>
        </is>
      </c>
      <c r="E44" t="inlineStr">
        <is>
          <t>-2</t>
        </is>
      </c>
      <c r="F44" s="5" t="inlineStr">
        <is>
          <t>（3）内桶错放导致桶盖无法正常打开，未放置垃圾内桶等影响正常使用(-2)（1处问题）</t>
        </is>
      </c>
      <c r="G44">
        <f>HYPERLINK("https://yueling-buddy.github.io/xxr-inspection-album/weeks/2026-09-03/venue/v-%E7%A6%8F%E7%94%B0%E5%8C%BA%E7%BA%A2%E8%8D%94%E8%A5%BF%E8%B7%AF7024%E5%8F%B7_%E5%B8%82%E6%94%BF%E5%A4%A7%E9%99%A2.html","查看证据")</f>
        <v/>
      </c>
    </row>
    <row r="45">
      <c r="A45" t="inlineStr">
        <is>
          <t>住宅小区</t>
        </is>
      </c>
      <c r="B45" t="inlineStr">
        <is>
          <t>市政大院</t>
        </is>
      </c>
      <c r="C45" t="inlineStr">
        <is>
          <t>1.17</t>
        </is>
      </c>
      <c r="D45" s="5" t="inlineStr">
        <is>
          <t>转运桶应在黄线划定区域内摆放整齐并保持全天关闭（作业状态除外），禁止罩外摆桶供居民投放。（6分）</t>
        </is>
      </c>
      <c r="E45" t="inlineStr">
        <is>
          <t>-6</t>
        </is>
      </c>
      <c r="F45" s="5" t="inlineStr">
        <is>
          <t>（3）监控范围外罩外摆桶并开盖供居民投放(-2)（3处问题）</t>
        </is>
      </c>
      <c r="G45">
        <f>HYPERLINK("https://yueling-buddy.github.io/xxr-inspection-album/weeks/2026-09-03/venue/v-%E7%A6%8F%E7%94%B0%E5%8C%BA%E7%BA%A2%E8%8D%94%E8%A5%BF%E8%B7%AF7024%E5%8F%B7_%E5%B8%82%E6%94%BF%E5%A4%A7%E9%99%A2.html","查看证据")</f>
        <v/>
      </c>
    </row>
    <row r="46">
      <c r="A46" t="inlineStr">
        <is>
          <t>住宅小区</t>
        </is>
      </c>
      <c r="B46" t="inlineStr">
        <is>
          <t>擎天华庭</t>
        </is>
      </c>
      <c r="C46" t="inlineStr">
        <is>
          <t>1.8</t>
        </is>
      </c>
      <c r="D46" s="5" t="inlineStr">
        <is>
          <t>设置公示牌，清晰公示管理责任人和电话、专项垃圾暂存点和废旧织物回收箱位置、厨余垃圾投放时段、各类垃圾收运处理企业等信息。（4分）</t>
        </is>
      </c>
      <c r="E46" t="inlineStr">
        <is>
          <t>-2</t>
        </is>
      </c>
      <c r="F46" s="5" t="inlineStr">
        <is>
          <t>（3）公示牌设置不规范（公示牌脱落、内容缺失、错误或模糊等）(-2)（1处问题）</t>
        </is>
      </c>
      <c r="G46">
        <f>HYPERLINK("https://yueling-buddy.github.io/xxr-inspection-album/weeks/2026-09-03/venue/v-%E7%A6%8F%E7%94%B0%E5%8C%BA%E6%99%AF%E7%94%B0%E8%B7%AF77%E5%8F%B7_%E6%93%8E%E5%A4%A9%E5%8D%8E%E5%BA%AD.html","查看证据")</f>
        <v/>
      </c>
    </row>
    <row r="47">
      <c r="A47" t="inlineStr">
        <is>
          <t>住宅小区</t>
        </is>
      </c>
      <c r="B47" t="inlineStr">
        <is>
          <t>擎天华庭</t>
        </is>
      </c>
      <c r="C47" t="inlineStr">
        <is>
          <t>2.1</t>
        </is>
      </c>
      <c r="D47" s="5" t="inlineStr">
        <is>
          <t>设置标识牌，外观使用“深i回收”标识，封闭围挡，地面硬底化。（2分）</t>
        </is>
      </c>
      <c r="E47" t="inlineStr">
        <is>
          <t>-2</t>
        </is>
      </c>
      <c r="F47" s="5" t="inlineStr">
        <is>
          <t>（5）其他问题说明（备注描述）(-2)（1处问题）</t>
        </is>
      </c>
      <c r="G47">
        <f>HYPERLINK("https://yueling-buddy.github.io/xxr-inspection-album/weeks/2026-09-03/venue/v-%E7%A6%8F%E7%94%B0%E5%8C%BA%E6%99%AF%E7%94%B0%E8%B7%AF77%E5%8F%B7_%E6%93%8E%E5%A4%A9%E5%8D%8E%E5%BA%AD.html","查看证据")</f>
        <v/>
      </c>
    </row>
    <row r="48">
      <c r="A48" t="inlineStr">
        <is>
          <t>住宅小区</t>
        </is>
      </c>
      <c r="B48" t="inlineStr">
        <is>
          <t>擎天华庭</t>
        </is>
      </c>
      <c r="C48" t="inlineStr">
        <is>
          <t>6.1</t>
        </is>
      </c>
      <c r="D48" s="5" t="inlineStr">
        <is>
          <t>公共区域宣传栏张贴垃圾分类投放指引或宣传海报。（2分）</t>
        </is>
      </c>
      <c r="E48" t="inlineStr">
        <is>
          <t>-2</t>
        </is>
      </c>
      <c r="F48" s="5" t="inlineStr">
        <is>
          <t>（2）未规范张贴垃圾分类宣传海报（海报缺失、内容错误/未更新等）(-2)（1处问题）</t>
        </is>
      </c>
      <c r="G48">
        <f>HYPERLINK("https://yueling-buddy.github.io/xxr-inspection-album/weeks/2026-09-03/venue/v-%E7%A6%8F%E7%94%B0%E5%8C%BA%E6%99%AF%E7%94%B0%E8%B7%AF77%E5%8F%B7_%E6%93%8E%E5%A4%A9%E5%8D%8E%E5%BA%AD.html","查看证据")</f>
        <v/>
      </c>
    </row>
    <row r="49">
      <c r="A49" t="inlineStr">
        <is>
          <t>住宅小区</t>
        </is>
      </c>
      <c r="B49" t="inlineStr">
        <is>
          <t>翠景园</t>
        </is>
      </c>
      <c r="C49" t="inlineStr">
        <is>
          <t>1.9</t>
        </is>
      </c>
      <c r="D49" s="5" t="inlineStr">
        <is>
          <t>各设施齐全完好，摆放整齐有序，使用功能正常，没有严重破损、陈旧问题，不得拆除投放口盖板支撑杆。（6分）</t>
        </is>
      </c>
      <c r="E49" t="inlineStr">
        <is>
          <t>-2</t>
        </is>
      </c>
      <c r="F49" s="5" t="inlineStr">
        <is>
          <t>（3）内桶错放导致桶盖无法正常打开，未放置垃圾内桶等影响正常使用(-2)（1处问题）</t>
        </is>
      </c>
      <c r="G49">
        <f>HYPERLINK("https://yueling-buddy.github.io/xxr-inspection-album/weeks/2026-09-03/venue/v-%E7%A6%8F%E7%94%B0%E5%8C%BA%E5%95%86%E6%8A%A5%E8%B7%AF18%E5%8F%B7_%E7%BF%A0%E6%99%AF%E5%9B%AD.html","查看证据")</f>
        <v/>
      </c>
    </row>
    <row r="50">
      <c r="A50" t="inlineStr">
        <is>
          <t>住宅小区</t>
        </is>
      </c>
      <c r="B50" t="inlineStr">
        <is>
          <t>翠景园</t>
        </is>
      </c>
      <c r="C50" t="inlineStr">
        <is>
          <t>1.17</t>
        </is>
      </c>
      <c r="D50" s="5" t="inlineStr">
        <is>
          <t>转运桶应在黄线划定区域内摆放整齐并保持全天关闭（作业状态除外），禁止罩外摆桶供居民投放。（6分）</t>
        </is>
      </c>
      <c r="E50" t="inlineStr">
        <is>
          <t>-2</t>
        </is>
      </c>
      <c r="F50" s="5" t="inlineStr">
        <is>
          <t>（3）监控范围外罩外摆桶并开盖供居民投放(-2)（1处问题）</t>
        </is>
      </c>
      <c r="G50">
        <f>HYPERLINK("https://yueling-buddy.github.io/xxr-inspection-album/weeks/2026-09-03/venue/v-%E7%A6%8F%E7%94%B0%E5%8C%BA%E5%95%86%E6%8A%A5%E8%B7%AF18%E5%8F%B7_%E7%BF%A0%E6%99%AF%E5%9B%AD.html","查看证据")</f>
        <v/>
      </c>
    </row>
    <row r="51">
      <c r="A51" t="inlineStr">
        <is>
          <t>住宅小区</t>
        </is>
      </c>
      <c r="B51" t="inlineStr">
        <is>
          <t>翠景园</t>
        </is>
      </c>
      <c r="C51" t="inlineStr">
        <is>
          <t>2.1</t>
        </is>
      </c>
      <c r="D51" s="5" t="inlineStr">
        <is>
          <t>设置标识牌，外观使用“深i回收”标识，封闭围挡，地面硬底化。（2分）</t>
        </is>
      </c>
      <c r="E51" t="inlineStr">
        <is>
          <t>-2</t>
        </is>
      </c>
      <c r="F51" s="5" t="inlineStr">
        <is>
          <t>（5）其他问题说明（备注描述）(-2)（1处问题）</t>
        </is>
      </c>
      <c r="G51">
        <f>HYPERLINK("https://yueling-buddy.github.io/xxr-inspection-album/weeks/2026-09-03/venue/v-%E7%A6%8F%E7%94%B0%E5%8C%BA%E5%95%86%E6%8A%A5%E8%B7%AF18%E5%8F%B7_%E7%BF%A0%E6%99%AF%E5%9B%AD.html","查看证据")</f>
        <v/>
      </c>
    </row>
    <row r="52">
      <c r="A52" t="inlineStr">
        <is>
          <t>住宅小区</t>
        </is>
      </c>
      <c r="B52" t="inlineStr">
        <is>
          <t>翠景园</t>
        </is>
      </c>
      <c r="C52" t="inlineStr">
        <is>
          <t>6.1</t>
        </is>
      </c>
      <c r="D52" s="5" t="inlineStr">
        <is>
          <t>公共区域宣传栏张贴垃圾分类投放指引或宣传海报。（2分）</t>
        </is>
      </c>
      <c r="E52" t="inlineStr">
        <is>
          <t>-2</t>
        </is>
      </c>
      <c r="F52" s="5" t="inlineStr">
        <is>
          <t>（2）未规范张贴垃圾分类宣传海报（海报缺失、内容错误/未更新等）(-2)（1处问题）</t>
        </is>
      </c>
      <c r="G52">
        <f>HYPERLINK("https://yueling-buddy.github.io/xxr-inspection-album/weeks/2026-09-03/venue/v-%E7%A6%8F%E7%94%B0%E5%8C%BA%E5%95%86%E6%8A%A5%E8%B7%AF18%E5%8F%B7_%E7%BF%A0%E6%99%AF%E5%9B%AD.html","查看证据")</f>
        <v/>
      </c>
    </row>
    <row r="53">
      <c r="A53" t="inlineStr">
        <is>
          <t>住宅小区</t>
        </is>
      </c>
      <c r="B53" t="inlineStr">
        <is>
          <t>惠名花园</t>
        </is>
      </c>
      <c r="C53" t="inlineStr">
        <is>
          <t>1.6</t>
        </is>
      </c>
      <c r="D53" s="5" t="inlineStr">
        <is>
          <t>设置洗手设施。（2分）</t>
        </is>
      </c>
      <c r="E53" t="inlineStr">
        <is>
          <t>-1</t>
        </is>
      </c>
      <c r="F53" s="5" t="inlineStr">
        <is>
          <t>（3）洗手设施不规范（包括水龙头损坏或明显松动，水龙头不出水，洗手盆堵塞等）(-1)（1处问题）</t>
        </is>
      </c>
      <c r="G53">
        <f>HYPERLINK("https://yueling-buddy.github.io/xxr-inspection-album/weeks/2026-09-03/venue/v-%E6%B7%B1%E5%9C%B3%E5%B8%82%E7%BD%97%E6%B9%96%E5%8C%BA%E7%BD%97%E6%B2%99%E8%B7%AF2031%E5%8F%B7_%E6%83%A0%E5%90%8D%E8%8A%B1%E5%9B%AD.html","查看证据")</f>
        <v/>
      </c>
    </row>
    <row r="54">
      <c r="A54" t="inlineStr">
        <is>
          <t>住宅小区</t>
        </is>
      </c>
      <c r="B54" t="inlineStr">
        <is>
          <t>惠名花园</t>
        </is>
      </c>
      <c r="C54" t="inlineStr">
        <is>
          <t>1.13</t>
        </is>
      </c>
      <c r="D54" s="5" t="inlineStr">
        <is>
          <t>收集容器外壁及内桶保持干净整洁，避免陈旧性脏污，收集容器内无积水。（4分）</t>
        </is>
      </c>
      <c r="E54" t="inlineStr">
        <is>
          <t>-4</t>
        </is>
      </c>
      <c r="F54" s="5" t="inlineStr">
        <is>
          <t>（2）收集容器外壁、内桶存在明显陈旧性脏污，大片锈迹等(-2)（2处问题）</t>
        </is>
      </c>
      <c r="G54">
        <f>HYPERLINK("https://yueling-buddy.github.io/xxr-inspection-album/weeks/2026-09-03/venue/v-%E6%B7%B1%E5%9C%B3%E5%B8%82%E7%BD%97%E6%B9%96%E5%8C%BA%E7%BD%97%E6%B2%99%E8%B7%AF2031%E5%8F%B7_%E6%83%A0%E5%90%8D%E8%8A%B1%E5%9B%AD.html","查看证据")</f>
        <v/>
      </c>
    </row>
    <row r="55">
      <c r="A55" t="inlineStr">
        <is>
          <t>住宅小区</t>
        </is>
      </c>
      <c r="B55" t="inlineStr">
        <is>
          <t>惠名花园</t>
        </is>
      </c>
      <c r="C55" t="inlineStr">
        <is>
          <t>1.14</t>
        </is>
      </c>
      <c r="D55" s="5" t="inlineStr">
        <is>
          <t>各类垃圾及时清运，投放点及其周围环境干净整洁，没有垃圾满溢、暴露垃圾、杂物堆放、严重积水或明显异味等问题。（6分）</t>
        </is>
      </c>
      <c r="E55" t="inlineStr">
        <is>
          <t>-2</t>
        </is>
      </c>
      <c r="F55" s="5" t="inlineStr">
        <is>
          <t>（3）环境卫生不整洁（投放点有暴露垃圾、杂物堆放，洗手池严重脏污，地面未硬底化，有明显污水污渍等）(-2)（1处问题）</t>
        </is>
      </c>
      <c r="G55">
        <f>HYPERLINK("https://yueling-buddy.github.io/xxr-inspection-album/weeks/2026-09-03/venue/v-%E6%B7%B1%E5%9C%B3%E5%B8%82%E7%BD%97%E6%B9%96%E5%8C%BA%E7%BD%97%E6%B2%99%E8%B7%AF2031%E5%8F%B7_%E6%83%A0%E5%90%8D%E8%8A%B1%E5%9B%AD.html","查看证据")</f>
        <v/>
      </c>
    </row>
    <row r="56">
      <c r="A56" t="inlineStr">
        <is>
          <t>住宅小区</t>
        </is>
      </c>
      <c r="B56" t="inlineStr">
        <is>
          <t>惠名花园</t>
        </is>
      </c>
      <c r="C56" t="inlineStr">
        <is>
          <t>1.16</t>
        </is>
      </c>
      <c r="D56" s="5" t="inlineStr">
        <is>
          <t>禁止通过捆绑、卡挡或上锁等方式封闭或遮挡投放口。（4分）</t>
        </is>
      </c>
      <c r="E56" t="inlineStr">
        <is>
          <t>-2</t>
        </is>
      </c>
      <c r="F56" s="5" t="inlineStr">
        <is>
          <t>（4）误时投放点未开放(-2)（1处问题）</t>
        </is>
      </c>
      <c r="G56">
        <f>HYPERLINK("https://yueling-buddy.github.io/xxr-inspection-album/weeks/2026-09-03/venue/v-%E6%B7%B1%E5%9C%B3%E5%B8%82%E7%BD%97%E6%B9%96%E5%8C%BA%E7%BD%97%E6%B2%99%E8%B7%AF2031%E5%8F%B7_%E6%83%A0%E5%90%8D%E8%8A%B1%E5%9B%AD.html","查看证据")</f>
        <v/>
      </c>
    </row>
    <row r="57">
      <c r="A57" t="inlineStr">
        <is>
          <t>住宅小区</t>
        </is>
      </c>
      <c r="B57" t="inlineStr">
        <is>
          <t>惠名花园</t>
        </is>
      </c>
      <c r="C57" t="inlineStr">
        <is>
          <t>3.1</t>
        </is>
      </c>
      <c r="D57" s="5" t="inlineStr">
        <is>
          <t>各类垃圾及时清运。（2分）</t>
        </is>
      </c>
      <c r="E57" t="inlineStr">
        <is>
          <t>-2</t>
        </is>
      </c>
      <c r="F57" s="5" t="inlineStr">
        <is>
          <t>（2）暂存点内垃圾清运不及时(-2)（1处问题）</t>
        </is>
      </c>
      <c r="G57">
        <f>HYPERLINK("https://yueling-buddy.github.io/xxr-inspection-album/weeks/2026-09-03/venue/v-%E6%B7%B1%E5%9C%B3%E5%B8%82%E7%BD%97%E6%B9%96%E5%8C%BA%E7%BD%97%E6%B2%99%E8%B7%AF2031%E5%8F%B7_%E6%83%A0%E5%90%8D%E8%8A%B1%E5%9B%AD.html","查看证据")</f>
        <v/>
      </c>
    </row>
    <row r="58">
      <c r="A58" t="inlineStr">
        <is>
          <t>机关事业单位办公场所</t>
        </is>
      </c>
      <c r="B58" t="inlineStr">
        <is>
          <t>长岭社区工作站</t>
        </is>
      </c>
      <c r="C58" t="inlineStr">
        <is>
          <t>1.6</t>
        </is>
      </c>
      <c r="D58" s="5" t="inlineStr">
        <is>
          <t>各类收集容器的分类标志完整、正确、清晰。 （12分）</t>
        </is>
      </c>
      <c r="E58" t="inlineStr">
        <is>
          <t>-3</t>
        </is>
      </c>
      <c r="F58" s="5" t="inlineStr">
        <is>
          <t>（2）收集容器标志缺失、错误或模糊不清的。（不强制要求垃圾桶套袋，若套袋的，收集容器应按垃圾类别对应颜色套袋）(-3)（1处问题）</t>
        </is>
      </c>
      <c r="G58">
        <f>HYPERLINK("https://yueling-buddy.github.io/xxr-inspection-album/weeks/2026-09-03/venue/v-%E6%B7%B1%E5%9C%B3%E5%B8%82%E7%BD%97%E6%B9%96%E5%8C%BA%E9%95%BF%E5%B2%AD%E8%B7%AF13_2_%E9%95%BF%E5%B2%AD%E7%A4%BE%E5%8C%BA%E5%B7%A5%E4%BD%9C%E7%AB%99.html","查看证据")</f>
        <v/>
      </c>
    </row>
    <row r="59">
      <c r="A59" t="inlineStr">
        <is>
          <t>餐饮场所</t>
        </is>
      </c>
      <c r="B59" t="inlineStr">
        <is>
          <t>原汁原味驴庄餐厅</t>
        </is>
      </c>
      <c r="C59" t="inlineStr">
        <is>
          <t>1.1</t>
        </is>
      </c>
      <c r="D59" s="5" t="inlineStr">
        <is>
          <t>后厨区摆放可回收物、厨余垃圾、其他垃圾收集容器。（6分）</t>
        </is>
      </c>
      <c r="E59" t="inlineStr">
        <is>
          <t>-6</t>
        </is>
      </c>
      <c r="F59" s="5" t="inlineStr">
        <is>
          <t>（2）收集容器缺失(-6)（1处问题）</t>
        </is>
      </c>
      <c r="G59">
        <f>HYPERLINK("https://yueling-buddy.github.io/xxr-inspection-album/weeks/2026-09-03/venue/v-%E6%B7%B1%E5%9C%B3%E5%B8%82%E7%BD%97%E6%B9%96%E5%8C%BA%E7%BD%97%E6%B2%99%E8%B7%AF2031%E5%8F%B7%E6%83%A0%E5%90%8D%E8%8A%B1%E5%9B%AD%E4%B8%9C%E9%97%A8%E9%99%A2%E5%86%85101_%E5%8E%9F%E6%B1%81%E5%8E%9F%E5%91%B3%E9%A9%B4%E5%BA%84%E9%A4%90%E5%8E%85.html","查看证据")</f>
        <v/>
      </c>
    </row>
    <row r="60">
      <c r="A60" t="inlineStr">
        <is>
          <t>餐饮场所</t>
        </is>
      </c>
      <c r="B60" t="inlineStr">
        <is>
          <t>原汁原味驴庄餐厅</t>
        </is>
      </c>
      <c r="C60" t="inlineStr">
        <is>
          <t>1.3</t>
        </is>
      </c>
      <c r="D60" s="5" t="inlineStr">
        <is>
          <t>各类收集容器的分类标志完整、正确、清晰。 （18分）</t>
        </is>
      </c>
      <c r="E60" t="inlineStr">
        <is>
          <t>-3</t>
        </is>
      </c>
      <c r="F60" s="5" t="inlineStr">
        <is>
          <t>（2）收集容器标志缺失、错误或模糊不清的。（不强制要求垃圾桶套袋，若套袋的，收集容器应按垃圾类别对应颜色套袋）(-3)（1处问题）</t>
        </is>
      </c>
      <c r="G60">
        <f>HYPERLINK("https://yueling-buddy.github.io/xxr-inspection-album/weeks/2026-09-03/venue/v-%E6%B7%B1%E5%9C%B3%E5%B8%82%E7%BD%97%E6%B9%96%E5%8C%BA%E7%BD%97%E6%B2%99%E8%B7%AF2031%E5%8F%B7%E6%83%A0%E5%90%8D%E8%8A%B1%E5%9B%AD%E4%B8%9C%E9%97%A8%E9%99%A2%E5%86%85101_%E5%8E%9F%E6%B1%81%E5%8E%9F%E5%91%B3%E9%A9%B4%E5%BA%84%E9%A4%90%E5%8E%85.html","查看证据")</f>
        <v/>
      </c>
    </row>
    <row r="61">
      <c r="A61" t="inlineStr">
        <is>
          <t>住宅小区</t>
        </is>
      </c>
      <c r="B61" t="inlineStr">
        <is>
          <t>缔梦园</t>
        </is>
      </c>
      <c r="C61" t="inlineStr">
        <is>
          <t>1.14</t>
        </is>
      </c>
      <c r="D61" s="5" t="inlineStr">
        <is>
          <t>各类垃圾及时清运，投放点及其周围环境干净整洁，没有垃圾满溢、暴露垃圾、杂物堆放、严重积水或明显异味等问题。（6分）</t>
        </is>
      </c>
      <c r="E61" t="inlineStr">
        <is>
          <t>-2</t>
        </is>
      </c>
      <c r="F61" s="5" t="inlineStr">
        <is>
          <t>（2）垃圾收集容器满溢、未及时清运(-2)（1处问题）</t>
        </is>
      </c>
      <c r="G61">
        <f>HYPERLINK("https://yueling-buddy.github.io/xxr-inspection-album/weeks/2026-09-03/venue/v-%E5%B9%BF%E4%B8%9C%E7%9C%81%E6%B7%B1%E5%9C%B3%E5%B8%82%E7%A6%8F%E7%94%B0%E5%8C%BA_%E8%8E%B2%E8%8A%B1%E8%B7%AF2069%E5%8F%B7_%E6%99%AF%E7%94%B0%E5%9C%B0%E9%93%81%E7%AB%99A%E5%8F%A3%E6%AD%A5%E8%A1%8C180%E7%B1%B3_%E7%BC%94%E6%A2%A6%E5%9B%AD.html","查看证据")</f>
        <v/>
      </c>
    </row>
    <row r="62">
      <c r="A62" t="inlineStr">
        <is>
          <t>住宅小区</t>
        </is>
      </c>
      <c r="B62" t="inlineStr">
        <is>
          <t>缔梦园</t>
        </is>
      </c>
      <c r="C62" t="inlineStr">
        <is>
          <t>1.16</t>
        </is>
      </c>
      <c r="D62" s="5" t="inlineStr">
        <is>
          <t>禁止通过捆绑、卡挡或上锁等方式封闭或遮挡投放口。（4分）</t>
        </is>
      </c>
      <c r="E62" t="inlineStr">
        <is>
          <t>-2</t>
        </is>
      </c>
      <c r="F62" s="5" t="inlineStr">
        <is>
          <t>（2）投放口被封闭或遮挡(-2)（1处问题）</t>
        </is>
      </c>
      <c r="G62">
        <f>HYPERLINK("https://yueling-buddy.github.io/xxr-inspection-album/weeks/2026-09-03/venue/v-%E5%B9%BF%E4%B8%9C%E7%9C%81%E6%B7%B1%E5%9C%B3%E5%B8%82%E7%A6%8F%E7%94%B0%E5%8C%BA_%E8%8E%B2%E8%8A%B1%E8%B7%AF2069%E5%8F%B7_%E6%99%AF%E7%94%B0%E5%9C%B0%E9%93%81%E7%AB%99A%E5%8F%A3%E6%AD%A5%E8%A1%8C180%E7%B1%B3_%E7%BC%94%E6%A2%A6%E5%9B%AD.html","查看证据")</f>
        <v/>
      </c>
    </row>
    <row r="63">
      <c r="A63" t="inlineStr">
        <is>
          <t>住宅小区</t>
        </is>
      </c>
      <c r="B63" t="inlineStr">
        <is>
          <t>缔梦园</t>
        </is>
      </c>
      <c r="C63" t="inlineStr">
        <is>
          <t>1.17</t>
        </is>
      </c>
      <c r="D63" s="5" t="inlineStr">
        <is>
          <t>转运桶应在黄线划定区域内摆放整齐并保持全天关闭（作业状态除外），禁止罩外摆桶供居民投放。（6分）</t>
        </is>
      </c>
      <c r="E63" t="inlineStr">
        <is>
          <t>-4</t>
        </is>
      </c>
      <c r="F63" s="5" t="inlineStr">
        <is>
          <t>（3）监控范围外罩外摆桶并开盖供居民投放(-2)（2处问题）</t>
        </is>
      </c>
      <c r="G63">
        <f>HYPERLINK("https://yueling-buddy.github.io/xxr-inspection-album/weeks/2026-09-03/venue/v-%E5%B9%BF%E4%B8%9C%E7%9C%81%E6%B7%B1%E5%9C%B3%E5%B8%82%E7%A6%8F%E7%94%B0%E5%8C%BA_%E8%8E%B2%E8%8A%B1%E8%B7%AF2069%E5%8F%B7_%E6%99%AF%E7%94%B0%E5%9C%B0%E9%93%81%E7%AB%99A%E5%8F%A3%E6%AD%A5%E8%A1%8C180%E7%B1%B3_%E7%BC%94%E6%A2%A6%E5%9B%AD.html","查看证据")</f>
        <v/>
      </c>
    </row>
    <row r="64">
      <c r="A64" t="inlineStr">
        <is>
          <t>住宅小区</t>
        </is>
      </c>
      <c r="B64" t="inlineStr">
        <is>
          <t>缔梦园</t>
        </is>
      </c>
      <c r="C64" t="inlineStr">
        <is>
          <t>2.2</t>
        </is>
      </c>
      <c r="D64" s="5" t="inlineStr">
        <is>
          <t>设置消防设施，使用功能正常，取用方便。（2分）</t>
        </is>
      </c>
      <c r="E64" t="inlineStr">
        <is>
          <t>-2</t>
        </is>
      </c>
      <c r="F64" s="5" t="inlineStr">
        <is>
          <t>（2）消防设施不规范（设备缺失、破损严重/过期等）(-2)（1处问题）</t>
        </is>
      </c>
      <c r="G64">
        <f>HYPERLINK("https://yueling-buddy.github.io/xxr-inspection-album/weeks/2026-09-03/venue/v-%E5%B9%BF%E4%B8%9C%E7%9C%81%E6%B7%B1%E5%9C%B3%E5%B8%82%E7%A6%8F%E7%94%B0%E5%8C%BA_%E8%8E%B2%E8%8A%B1%E8%B7%AF2069%E5%8F%B7_%E6%99%AF%E7%94%B0%E5%9C%B0%E9%93%81%E7%AB%99A%E5%8F%A3%E6%AD%A5%E8%A1%8C180%E7%B1%B3_%E7%BC%94%E6%A2%A6%E5%9B%AD.html","查看证据")</f>
        <v/>
      </c>
    </row>
    <row r="65">
      <c r="A65" t="inlineStr">
        <is>
          <t>住宅小区</t>
        </is>
      </c>
      <c r="B65" t="inlineStr">
        <is>
          <t>缔梦园</t>
        </is>
      </c>
      <c r="C65" t="inlineStr">
        <is>
          <t>2.4</t>
        </is>
      </c>
      <c r="D65" s="5" t="inlineStr">
        <is>
          <t>暂存点及其周围环境干净整洁，没有污水积聚或散落垃圾，禁止存放易燃易爆危险品，禁止违规接电、住人。（2分）</t>
        </is>
      </c>
      <c r="E65" t="inlineStr">
        <is>
          <t>-2</t>
        </is>
      </c>
      <c r="F65" s="5" t="inlineStr">
        <is>
          <t>（2）暂存点及周围环境不整洁（垃圾堆放杂乱、垃圾散落、地面污水积聚等）(-2)（1处问题）</t>
        </is>
      </c>
      <c r="G65">
        <f>HYPERLINK("https://yueling-buddy.github.io/xxr-inspection-album/weeks/2026-09-03/venue/v-%E5%B9%BF%E4%B8%9C%E7%9C%81%E6%B7%B1%E5%9C%B3%E5%B8%82%E7%A6%8F%E7%94%B0%E5%8C%BA_%E8%8E%B2%E8%8A%B1%E8%B7%AF2069%E5%8F%B7_%E6%99%AF%E7%94%B0%E5%9C%B0%E9%93%81%E7%AB%99A%E5%8F%A3%E6%AD%A5%E8%A1%8C180%E7%B1%B3_%E7%BC%94%E6%A2%A6%E5%9B%AD.html","查看证据")</f>
        <v/>
      </c>
    </row>
    <row r="66">
      <c r="A66" t="inlineStr">
        <is>
          <t>住宅小区</t>
        </is>
      </c>
      <c r="B66" t="inlineStr">
        <is>
          <t>航天晴山月名园</t>
        </is>
      </c>
      <c r="C66" t="inlineStr">
        <is>
          <t>1.5</t>
        </is>
      </c>
      <c r="D66" s="5" t="inlineStr">
        <is>
          <t>分类标志完整、正确、清晰，各类垃圾收集容器外罩和内桶的颜色正确。（4分）</t>
        </is>
      </c>
      <c r="E66" t="inlineStr">
        <is>
          <t>-2</t>
        </is>
      </c>
      <c r="F66" s="5" t="inlineStr">
        <is>
          <t>（3）外罩和内桶颜色不正确;（不强制要求垃圾桶套袋，若套袋的，收集容器应按垃圾类别对应颜色套袋）(-2)（1处问题）</t>
        </is>
      </c>
      <c r="G66">
        <f>HYPERLINK("https://yueling-buddy.github.io/xxr-inspection-album/weeks/2026-09-03/venue/v-%E7%BD%97%E6%B9%96%E5%8C%BA%E7%BD%97%E6%B2%99%E8%B7%AF2008%E5%8F%B7_%E8%88%AA%E5%A4%A9%E6%99%B4%E5%B1%B1%E6%9C%88%E5%90%8D%E5%9B%AD.html","查看证据")</f>
        <v/>
      </c>
    </row>
    <row r="67">
      <c r="A67" t="inlineStr">
        <is>
          <t>住宅小区</t>
        </is>
      </c>
      <c r="B67" t="inlineStr">
        <is>
          <t>航天晴山月名园</t>
        </is>
      </c>
      <c r="C67" t="inlineStr">
        <is>
          <t>1.13</t>
        </is>
      </c>
      <c r="D67" s="5" t="inlineStr">
        <is>
          <t>收集容器外壁及内桶保持干净整洁，避免陈旧性脏污，收集容器内无积水。（4分）</t>
        </is>
      </c>
      <c r="E67" t="inlineStr">
        <is>
          <t>-4</t>
        </is>
      </c>
      <c r="F67" s="5" t="inlineStr">
        <is>
          <t>（2）收集容器外壁、内桶存在明显陈旧性脏污，大片锈迹等(-2)（2处问题）</t>
        </is>
      </c>
      <c r="G67">
        <f>HYPERLINK("https://yueling-buddy.github.io/xxr-inspection-album/weeks/2026-09-03/venue/v-%E7%BD%97%E6%B9%96%E5%8C%BA%E7%BD%97%E6%B2%99%E8%B7%AF2008%E5%8F%B7_%E8%88%AA%E5%A4%A9%E6%99%B4%E5%B1%B1%E6%9C%88%E5%90%8D%E5%9B%AD.html","查看证据")</f>
        <v/>
      </c>
    </row>
    <row r="68">
      <c r="A68" t="inlineStr">
        <is>
          <t>住宅小区</t>
        </is>
      </c>
      <c r="B68" t="inlineStr">
        <is>
          <t>玉雅居</t>
        </is>
      </c>
      <c r="C68" t="inlineStr">
        <is>
          <t>1.12</t>
        </is>
      </c>
      <c r="D68" s="5" t="inlineStr">
        <is>
          <t>桶柜式垃圾投放点柜门应全天保持关闭（作业状态除外）。（4分）</t>
        </is>
      </c>
      <c r="E68" t="inlineStr">
        <is>
          <t>-2</t>
        </is>
      </c>
      <c r="F68" s="5" t="inlineStr">
        <is>
          <t>（2）柜门未保持关闭(-2)（1处问题）</t>
        </is>
      </c>
      <c r="G68">
        <f>HYPERLINK("https://yueling-buddy.github.io/xxr-inspection-album/weeks/2026-09-03/venue/v-%E7%BD%97%E6%B2%99%E8%B7%AF2068%E5%8F%B7%E7%8E%89%E9%9B%85%E5%B1%85_%E7%8E%89%E9%9B%85%E5%B1%85.html","查看证据")</f>
        <v/>
      </c>
    </row>
    <row r="69">
      <c r="A69" t="inlineStr">
        <is>
          <t>住宅小区</t>
        </is>
      </c>
      <c r="B69" t="inlineStr">
        <is>
          <t>玉雅居</t>
        </is>
      </c>
      <c r="C69" t="inlineStr">
        <is>
          <t>3.1</t>
        </is>
      </c>
      <c r="D69" s="5" t="inlineStr">
        <is>
          <t>各类垃圾及时清运。（2分）</t>
        </is>
      </c>
      <c r="E69" t="inlineStr">
        <is>
          <t>-2</t>
        </is>
      </c>
      <c r="F69" s="5" t="inlineStr">
        <is>
          <t>（3）其他问题说明（备注描述）(-2)（1处问题）</t>
        </is>
      </c>
      <c r="G69">
        <f>HYPERLINK("https://yueling-buddy.github.io/xxr-inspection-album/weeks/2026-09-03/venue/v-%E7%BD%97%E6%B2%99%E8%B7%AF2068%E5%8F%B7%E7%8E%89%E9%9B%85%E5%B1%85_%E7%8E%89%E9%9B%85%E5%B1%85.html","查看证据")</f>
        <v/>
      </c>
    </row>
    <row r="70">
      <c r="A70" t="inlineStr">
        <is>
          <t>住宅小区</t>
        </is>
      </c>
      <c r="B70" t="inlineStr">
        <is>
          <t>公交梧桐苑</t>
        </is>
      </c>
      <c r="C70" t="inlineStr">
        <is>
          <t>1.5</t>
        </is>
      </c>
      <c r="D70" s="5" t="inlineStr">
        <is>
          <t>分类标志完整、正确、清晰，各类垃圾收集容器外罩和内桶的颜色正确。（4分）</t>
        </is>
      </c>
      <c r="E70" t="inlineStr">
        <is>
          <t>-2</t>
        </is>
      </c>
      <c r="F70" s="5" t="inlineStr">
        <is>
          <t>（3）外罩和内桶颜色不正确;（不强制要求垃圾桶套袋，若套袋的，收集容器应按垃圾类别对应颜色套袋）(-2)（1处问题）</t>
        </is>
      </c>
      <c r="G70">
        <f>HYPERLINK("https://yueling-buddy.github.io/xxr-inspection-album/weeks/2026-09-03/venue/v-%E7%BD%97%E6%B9%96%E5%8C%BA%E8%8E%B2%E5%A1%98%E8%A1%97%E9%81%93%E4%B8%83%E5%8F%B7%E8%B7%AF2%E5%8F%B7_%E5%85%AC%E4%BA%A4%E6%A2%A7%E6%A1%90%E8%8B%91.html","查看证据")</f>
        <v/>
      </c>
    </row>
    <row r="71">
      <c r="A71" t="inlineStr">
        <is>
          <t>住宅小区</t>
        </is>
      </c>
      <c r="B71" t="inlineStr">
        <is>
          <t>公交梧桐苑</t>
        </is>
      </c>
      <c r="C71" t="inlineStr">
        <is>
          <t>1.8</t>
        </is>
      </c>
      <c r="D71" s="5" t="inlineStr">
        <is>
          <t>设置公示牌，清晰公示管理责任人和电话、专项垃圾暂存点和废旧织物回收箱位置、厨余垃圾投放时段、各类垃圾收运处理企业等信息。（4分）</t>
        </is>
      </c>
      <c r="E71" t="inlineStr">
        <is>
          <t>-2</t>
        </is>
      </c>
      <c r="F71" s="5" t="inlineStr">
        <is>
          <t>（3）公示牌设置不规范（公示牌脱落、内容缺失、错误或模糊等）(-2)（1处问题）</t>
        </is>
      </c>
      <c r="G71">
        <f>HYPERLINK("https://yueling-buddy.github.io/xxr-inspection-album/weeks/2026-09-03/venue/v-%E7%BD%97%E6%B9%96%E5%8C%BA%E8%8E%B2%E5%A1%98%E8%A1%97%E9%81%93%E4%B8%83%E5%8F%B7%E8%B7%AF2%E5%8F%B7_%E5%85%AC%E4%BA%A4%E6%A2%A7%E6%A1%90%E8%8B%91.html","查看证据")</f>
        <v/>
      </c>
    </row>
    <row r="72">
      <c r="A72" t="inlineStr">
        <is>
          <t>住宅小区</t>
        </is>
      </c>
      <c r="B72" t="inlineStr">
        <is>
          <t>公交梧桐苑</t>
        </is>
      </c>
      <c r="C72" t="inlineStr">
        <is>
          <t>1.9</t>
        </is>
      </c>
      <c r="D72" s="5" t="inlineStr">
        <is>
          <t>各设施齐全完好，摆放整齐有序，使用功能正常，没有严重破损、陈旧问题，不得拆除投放口盖板支撑杆。（6分）</t>
        </is>
      </c>
      <c r="E72" t="inlineStr">
        <is>
          <t>-2</t>
        </is>
      </c>
      <c r="F72" s="5" t="inlineStr">
        <is>
          <t>（3）内桶错放导致桶盖无法正常打开，未放置垃圾内桶等影响正常使用(-2)（1处问题）</t>
        </is>
      </c>
      <c r="G72">
        <f>HYPERLINK("https://yueling-buddy.github.io/xxr-inspection-album/weeks/2026-09-03/venue/v-%E7%BD%97%E6%B9%96%E5%8C%BA%E8%8E%B2%E5%A1%98%E8%A1%97%E9%81%93%E4%B8%83%E5%8F%B7%E8%B7%AF2%E5%8F%B7_%E5%85%AC%E4%BA%A4%E6%A2%A7%E6%A1%90%E8%8B%91.html","查看证据")</f>
        <v/>
      </c>
    </row>
    <row r="73">
      <c r="A73" t="inlineStr">
        <is>
          <t>住宅小区</t>
        </is>
      </c>
      <c r="B73" t="inlineStr">
        <is>
          <t>公交梧桐苑</t>
        </is>
      </c>
      <c r="C73" t="inlineStr">
        <is>
          <t>1.13</t>
        </is>
      </c>
      <c r="D73" s="5" t="inlineStr">
        <is>
          <t>收集容器外壁及内桶保持干净整洁，避免陈旧性脏污，收集容器内无积水。（4分）</t>
        </is>
      </c>
      <c r="E73" t="inlineStr">
        <is>
          <t>-2</t>
        </is>
      </c>
      <c r="F73" s="5" t="inlineStr">
        <is>
          <t>（2）收集容器外壁、内桶存在明显陈旧性脏污，大片锈迹等(-2)（1处问题）</t>
        </is>
      </c>
      <c r="G73">
        <f>HYPERLINK("https://yueling-buddy.github.io/xxr-inspection-album/weeks/2026-09-03/venue/v-%E7%BD%97%E6%B9%96%E5%8C%BA%E8%8E%B2%E5%A1%98%E8%A1%97%E9%81%93%E4%B8%83%E5%8F%B7%E8%B7%AF2%E5%8F%B7_%E5%85%AC%E4%BA%A4%E6%A2%A7%E6%A1%90%E8%8B%91.html","查看证据")</f>
        <v/>
      </c>
    </row>
    <row r="74">
      <c r="A74" t="inlineStr">
        <is>
          <t>住宅小区</t>
        </is>
      </c>
      <c r="B74" t="inlineStr">
        <is>
          <t>公交梧桐苑</t>
        </is>
      </c>
      <c r="C74" t="inlineStr">
        <is>
          <t>1.14</t>
        </is>
      </c>
      <c r="D74" s="5" t="inlineStr">
        <is>
          <t>各类垃圾及时清运，投放点及其周围环境干净整洁，没有垃圾满溢、暴露垃圾、杂物堆放、严重积水或明显异味等问题。（6分）</t>
        </is>
      </c>
      <c r="E74" t="inlineStr">
        <is>
          <t>-2</t>
        </is>
      </c>
      <c r="F74" s="5" t="inlineStr">
        <is>
          <t>（3）环境卫生不整洁（投放点有暴露垃圾、杂物堆放，洗手池严重脏污，地面未硬底化，有明显污水污渍等）(-2)（1处问题）</t>
        </is>
      </c>
      <c r="G74">
        <f>HYPERLINK("https://yueling-buddy.github.io/xxr-inspection-album/weeks/2026-09-03/venue/v-%E7%BD%97%E6%B9%96%E5%8C%BA%E8%8E%B2%E5%A1%98%E8%A1%97%E9%81%93%E4%B8%83%E5%8F%B7%E8%B7%AF2%E5%8F%B7_%E5%85%AC%E4%BA%A4%E6%A2%A7%E6%A1%90%E8%8B%91.html","查看证据")</f>
        <v/>
      </c>
    </row>
    <row r="75">
      <c r="A75" t="inlineStr">
        <is>
          <t>住宅小区</t>
        </is>
      </c>
      <c r="B75" t="inlineStr">
        <is>
          <t>公交梧桐苑</t>
        </is>
      </c>
      <c r="C75" t="inlineStr">
        <is>
          <t>1.17</t>
        </is>
      </c>
      <c r="D75" s="5" t="inlineStr">
        <is>
          <t>转运桶应在黄线划定区域内摆放整齐并保持全天关闭（作业状态除外），禁止罩外摆桶供居民投放。（6分）</t>
        </is>
      </c>
      <c r="E75" t="inlineStr">
        <is>
          <t>-2</t>
        </is>
      </c>
      <c r="F75" s="5" t="inlineStr">
        <is>
          <t>（2）未在黄线划定区域内(-2)（1处问题）</t>
        </is>
      </c>
      <c r="G75">
        <f>HYPERLINK("https://yueling-buddy.github.io/xxr-inspection-album/weeks/2026-09-03/venue/v-%E7%BD%97%E6%B9%96%E5%8C%BA%E8%8E%B2%E5%A1%98%E8%A1%97%E9%81%93%E4%B8%83%E5%8F%B7%E8%B7%AF2%E5%8F%B7_%E5%85%AC%E4%BA%A4%E6%A2%A7%E6%A1%90%E8%8B%91.html","查看证据")</f>
        <v/>
      </c>
    </row>
    <row r="76">
      <c r="A76" t="inlineStr">
        <is>
          <t>住宅小区</t>
        </is>
      </c>
      <c r="B76" t="inlineStr">
        <is>
          <t>公交梧桐苑</t>
        </is>
      </c>
      <c r="C76" t="inlineStr">
        <is>
          <t>2.4</t>
        </is>
      </c>
      <c r="D76" s="5" t="inlineStr">
        <is>
          <t>暂存点及其周围环境干净整洁，没有污水积聚或散落垃圾，禁止存放易燃易爆危险品，禁止违规接电、住人。（2分）</t>
        </is>
      </c>
      <c r="E76" t="inlineStr">
        <is>
          <t>-2</t>
        </is>
      </c>
      <c r="F76" s="5" t="inlineStr">
        <is>
          <t>（2）暂存点及周围环境不整洁（垃圾堆放杂乱、垃圾散落、地面污水积聚等）(-2)（1处问题）</t>
        </is>
      </c>
      <c r="G76">
        <f>HYPERLINK("https://yueling-buddy.github.io/xxr-inspection-album/weeks/2026-09-03/venue/v-%E7%BD%97%E6%B9%96%E5%8C%BA%E8%8E%B2%E5%A1%98%E8%A1%97%E9%81%93%E4%B8%83%E5%8F%B7%E8%B7%AF2%E5%8F%B7_%E5%85%AC%E4%BA%A4%E6%A2%A7%E6%A1%90%E8%8B%91.html","查看证据")</f>
        <v/>
      </c>
    </row>
    <row r="77">
      <c r="A77" t="inlineStr">
        <is>
          <t>住宅小区</t>
        </is>
      </c>
      <c r="B77" t="inlineStr">
        <is>
          <t>山水情家园</t>
        </is>
      </c>
      <c r="C77" t="inlineStr">
        <is>
          <t>2.4</t>
        </is>
      </c>
      <c r="D77" s="5" t="inlineStr">
        <is>
          <t>暂存点及其周围环境干净整洁，没有污水积聚或散落垃圾，禁止存放易燃易爆危险品，禁止违规接电、住人。（2分）</t>
        </is>
      </c>
      <c r="E77" t="inlineStr">
        <is>
          <t>-2</t>
        </is>
      </c>
      <c r="F77" s="5" t="inlineStr">
        <is>
          <t>（4）暂存点外堆放废旧家具等大件垃圾(-2)（1处问题）</t>
        </is>
      </c>
      <c r="G77">
        <f>HYPERLINK("https://yueling-buddy.github.io/xxr-inspection-album/weeks/2026-09-03/venue/v-%E6%B7%B1%E5%9C%B3%E5%B8%82%E5%8D%97%E5%B1%B1%E5%8C%BA%E5%8D%97%E5%B1%B1%E8%A1%97%E9%81%93%E5%89%8D%E6%B5%B7%E8%B7%AF0366%E5%8F%B7_%E5%B1%B1%E6%B0%B4%E6%83%85%E5%AE%B6%E5%9B%AD.html","查看证据")</f>
        <v/>
      </c>
    </row>
    <row r="78">
      <c r="A78" t="inlineStr">
        <is>
          <t>住宅小区</t>
        </is>
      </c>
      <c r="B78" t="inlineStr">
        <is>
          <t>太子山庄</t>
        </is>
      </c>
      <c r="C78" t="inlineStr">
        <is>
          <t>1.9</t>
        </is>
      </c>
      <c r="D78" s="5" t="inlineStr">
        <is>
          <t>各设施齐全完好，摆放整齐有序，使用功能正常，没有严重破损、陈旧问题，不得拆除投放口盖板支撑杆。（6分）</t>
        </is>
      </c>
      <c r="E78" t="inlineStr">
        <is>
          <t>-4</t>
        </is>
      </c>
      <c r="F78" s="5" t="inlineStr">
        <is>
          <t>（2）分类设施损坏或摆放不整齐(-2)（2处问题）</t>
        </is>
      </c>
      <c r="G78">
        <f>HYPERLINK("https://yueling-buddy.github.io/xxr-inspection-album/weeks/2026-09-03/venue/v-%E6%B7%B1%E5%9C%B3%E5%B8%82%E5%8D%97%E5%B1%B1%E5%8C%BA%E5%8D%97%E5%B1%B1%E8%A1%97%E9%81%93%E5%89%8D%E6%B5%B7%E8%B7%AF0308%E5%8F%B7_%E5%A4%AA%E5%AD%90%E5%B1%B1%E5%BA%84.html","查看证据")</f>
        <v/>
      </c>
    </row>
    <row r="79">
      <c r="A79" t="inlineStr">
        <is>
          <t>住宅小区</t>
        </is>
      </c>
      <c r="B79" t="inlineStr">
        <is>
          <t>太子山庄</t>
        </is>
      </c>
      <c r="C79" t="inlineStr">
        <is>
          <t>2.4</t>
        </is>
      </c>
      <c r="D79" s="5" t="inlineStr">
        <is>
          <t>暂存点及其周围环境干净整洁，没有污水积聚或散落垃圾，禁止存放易燃易爆危险品，禁止违规接电、住人。（2分）</t>
        </is>
      </c>
      <c r="E79" t="inlineStr">
        <is>
          <t>-2</t>
        </is>
      </c>
      <c r="F79" s="5" t="inlineStr">
        <is>
          <t>（4）暂存点外堆放废旧家具等大件垃圾(-2)（1处问题）</t>
        </is>
      </c>
      <c r="G79">
        <f>HYPERLINK("https://yueling-buddy.github.io/xxr-inspection-album/weeks/2026-09-03/venue/v-%E6%B7%B1%E5%9C%B3%E5%B8%82%E5%8D%97%E5%B1%B1%E5%8C%BA%E5%8D%97%E5%B1%B1%E8%A1%97%E9%81%93%E5%89%8D%E6%B5%B7%E8%B7%AF0308%E5%8F%B7_%E5%A4%AA%E5%AD%90%E5%B1%B1%E5%BA%84.html","查看证据")</f>
        <v/>
      </c>
    </row>
    <row r="80">
      <c r="A80" t="inlineStr">
        <is>
          <t>交通场站</t>
        </is>
      </c>
      <c r="B80" t="inlineStr">
        <is>
          <t>天健天骄公交首末站</t>
        </is>
      </c>
      <c r="C80" t="inlineStr">
        <is>
          <t>1.1</t>
        </is>
      </c>
      <c r="D80" s="5" t="inlineStr">
        <is>
          <t>公共区域成组摆放可回收物、其他垃圾收集容器。</t>
        </is>
      </c>
      <c r="E80" t="inlineStr">
        <is>
          <t>-3</t>
        </is>
      </c>
      <c r="F80" s="5" t="inlineStr">
        <is>
          <t>（2）未成组摆放两分类收集容器(-3)</t>
        </is>
      </c>
      <c r="G80">
        <f>HYPERLINK("https://yueling-buddy.github.io/xxr-inspection-album/weeks/2026-09-03/venue/v-%E7%A6%8F%E7%94%B0%E5%8C%BA%E6%99%AF%E7%94%B0%E8%A5%BF%E8%B7%AF%E5%92%8C%E6%99%AF%E7%94%B0%E8%A5%BF%E4%BA%8C%E8%A1%97%E4%BA%A4%E6%B1%87%E5%A4%84_%E5%A4%A9%E5%81%A5%E5%A4%A9%E9%AA%84%E5%85%AC%E4%BA%A4%E9%A6%96%E6%9C%AB%E7%AB%99.html","查看证据")</f>
        <v/>
      </c>
    </row>
    <row r="81">
      <c r="A81" t="inlineStr">
        <is>
          <t>交通场站</t>
        </is>
      </c>
      <c r="B81" t="inlineStr">
        <is>
          <t>天健天骄公交首末站</t>
        </is>
      </c>
      <c r="C81" t="inlineStr">
        <is>
          <t>1.6</t>
        </is>
      </c>
      <c r="D81" s="5" t="inlineStr">
        <is>
          <t>各类收集容器的分类标志完整、正确、清晰。</t>
        </is>
      </c>
      <c r="E81" t="inlineStr">
        <is>
          <t>-3</t>
        </is>
      </c>
      <c r="F81" s="5" t="inlineStr">
        <is>
          <t>（2）收集容器标志缺失、错误或模糊不清的。（不强制要求垃圾桶套袋，若套袋的，收集容器应按垃圾类别对应颜色套袋）(-3)（1处问题）</t>
        </is>
      </c>
      <c r="G81">
        <f>HYPERLINK("https://yueling-buddy.github.io/xxr-inspection-album/weeks/2026-09-03/venue/v-%E7%A6%8F%E7%94%B0%E5%8C%BA%E6%99%AF%E7%94%B0%E8%A5%BF%E8%B7%AF%E5%92%8C%E6%99%AF%E7%94%B0%E8%A5%BF%E4%BA%8C%E8%A1%97%E4%BA%A4%E6%B1%87%E5%A4%84_%E5%A4%A9%E5%81%A5%E5%A4%A9%E9%AA%84%E5%85%AC%E4%BA%A4%E9%A6%96%E6%9C%AB%E7%AB%99.html","查看证据")</f>
        <v/>
      </c>
    </row>
    <row r="82">
      <c r="A82" t="inlineStr">
        <is>
          <t>住宅小区</t>
        </is>
      </c>
      <c r="B82" t="inlineStr">
        <is>
          <t>山居岁月</t>
        </is>
      </c>
      <c r="C82" t="inlineStr">
        <is>
          <t>2.4</t>
        </is>
      </c>
      <c r="D82" s="5" t="inlineStr">
        <is>
          <t>暂存点及其周围环境干净整洁，没有污水积聚或散落垃圾，禁止存放易燃易爆危险品，禁止违规接电、住人。（2分）</t>
        </is>
      </c>
      <c r="E82" t="inlineStr">
        <is>
          <t>-2</t>
        </is>
      </c>
      <c r="F82" s="5" t="inlineStr">
        <is>
          <t>（4）暂存点外堆放废旧家具等大件垃圾(-2)（1处问题）</t>
        </is>
      </c>
      <c r="G82">
        <f>HYPERLINK("https://yueling-buddy.github.io/xxr-inspection-album/weeks/2026-09-03/venue/v-%E6%B7%B1%E5%9C%B3%E5%B8%82%E5%8D%97%E5%B1%B1%E5%8C%BA%E5%8D%97%E5%B1%B1%E8%A1%97%E9%81%93%E5%89%8D%E6%B5%B7%E8%B7%AF0308%E5%8F%B7_%E5%B1%B1%E5%B1%85%E5%B2%81%E6%9C%88.html","查看证据")</f>
        <v/>
      </c>
    </row>
    <row r="83">
      <c r="A83" t="inlineStr">
        <is>
          <t>住宅小区</t>
        </is>
      </c>
      <c r="B83" t="inlineStr">
        <is>
          <t>万托家园</t>
        </is>
      </c>
      <c r="C83" t="inlineStr">
        <is>
          <t>1.8</t>
        </is>
      </c>
      <c r="D83" s="5" t="inlineStr">
        <is>
          <t>设置公示牌，清晰公示管理责任人和电话、专项垃圾暂存点和废旧织物回收箱位置、厨余垃圾投放时段、各类垃圾收运处理企业等信息。（4分）</t>
        </is>
      </c>
      <c r="E83" t="inlineStr">
        <is>
          <t>-2</t>
        </is>
      </c>
      <c r="F83" s="5" t="inlineStr">
        <is>
          <t>（3）公示牌设置不规范（公示牌脱落、内容缺失、错误或模糊等）(-2)（1处问题）</t>
        </is>
      </c>
      <c r="G83">
        <f>HYPERLINK("https://yueling-buddy.github.io/xxr-inspection-album/weeks/2026-09-03/venue/v-%E7%A6%8F%E7%94%B0%E5%8C%BA%E6%99%AF%E7%94%B0%E8%B7%AF83%E5%8F%B7_%E4%B8%87%E6%89%98%E5%AE%B6%E5%9B%AD.html","查看证据")</f>
        <v/>
      </c>
    </row>
    <row r="84">
      <c r="A84" t="inlineStr">
        <is>
          <t>住宅小区</t>
        </is>
      </c>
      <c r="B84" t="inlineStr">
        <is>
          <t>万托家园</t>
        </is>
      </c>
      <c r="C84" t="inlineStr">
        <is>
          <t>1.17</t>
        </is>
      </c>
      <c r="D84" s="5" t="inlineStr">
        <is>
          <t>转运桶应在黄线划定区域内摆放整齐并保持全天关闭（作业状态除外），禁止罩外摆桶供居民投放。（6分）</t>
        </is>
      </c>
      <c r="E84" t="inlineStr">
        <is>
          <t>-2</t>
        </is>
      </c>
      <c r="F84" s="5" t="inlineStr">
        <is>
          <t>（3）监控范围外罩外摆桶并开盖供居民投放(-2)（1处问题）</t>
        </is>
      </c>
      <c r="G84">
        <f>HYPERLINK("https://yueling-buddy.github.io/xxr-inspection-album/weeks/2026-09-03/venue/v-%E7%A6%8F%E7%94%B0%E5%8C%BA%E6%99%AF%E7%94%B0%E8%B7%AF83%E5%8F%B7_%E4%B8%87%E6%89%98%E5%AE%B6%E5%9B%AD.html","查看证据")</f>
        <v/>
      </c>
    </row>
    <row r="85">
      <c r="A85" t="inlineStr">
        <is>
          <t>住宅小区</t>
        </is>
      </c>
      <c r="B85" t="inlineStr">
        <is>
          <t>万托家园</t>
        </is>
      </c>
      <c r="C85" t="inlineStr">
        <is>
          <t>2.1</t>
        </is>
      </c>
      <c r="D85" s="5" t="inlineStr">
        <is>
          <t>设置标识牌，外观使用“深i回收”标识，封闭围挡，地面硬底化。（2分）</t>
        </is>
      </c>
      <c r="E85" t="inlineStr">
        <is>
          <t>-2</t>
        </is>
      </c>
      <c r="F85" s="5" t="inlineStr">
        <is>
          <t>（5）其他问题说明（备注描述）(-2)（1处问题）</t>
        </is>
      </c>
      <c r="G85">
        <f>HYPERLINK("https://yueling-buddy.github.io/xxr-inspection-album/weeks/2026-09-03/venue/v-%E7%A6%8F%E7%94%B0%E5%8C%BA%E6%99%AF%E7%94%B0%E8%B7%AF83%E5%8F%B7_%E4%B8%87%E6%89%98%E5%AE%B6%E5%9B%AD.html","查看证据")</f>
        <v/>
      </c>
    </row>
    <row r="86">
      <c r="A86" t="inlineStr">
        <is>
          <t>住宅小区</t>
        </is>
      </c>
      <c r="B86" t="inlineStr">
        <is>
          <t>万托家园</t>
        </is>
      </c>
      <c r="C86" t="inlineStr">
        <is>
          <t>2.4</t>
        </is>
      </c>
      <c r="D86" s="5" t="inlineStr">
        <is>
          <t>暂存点及其周围环境干净整洁，没有污水积聚或散落垃圾，禁止存放易燃易爆危险品，禁止违规接电、住人。（2分）</t>
        </is>
      </c>
      <c r="E86" t="inlineStr">
        <is>
          <t>-2</t>
        </is>
      </c>
      <c r="F86" s="5" t="inlineStr">
        <is>
          <t>（2）暂存点及周围环境不整洁（垃圾堆放杂乱、垃圾散落、地面污水积聚等）(-2)（1处问题）</t>
        </is>
      </c>
      <c r="G86">
        <f>HYPERLINK("https://yueling-buddy.github.io/xxr-inspection-album/weeks/2026-09-03/venue/v-%E7%A6%8F%E7%94%B0%E5%8C%BA%E6%99%AF%E7%94%B0%E8%B7%AF83%E5%8F%B7_%E4%B8%87%E6%89%98%E5%AE%B6%E5%9B%AD.html","查看证据")</f>
        <v/>
      </c>
    </row>
    <row r="87">
      <c r="A87" t="inlineStr">
        <is>
          <t>住宅小区</t>
        </is>
      </c>
      <c r="B87" t="inlineStr">
        <is>
          <t>碧景园</t>
        </is>
      </c>
      <c r="C87" t="inlineStr">
        <is>
          <t>1.8</t>
        </is>
      </c>
      <c r="D87" s="5" t="inlineStr">
        <is>
          <t>设置公示牌，清晰公示管理责任人和电话、专项垃圾暂存点和废旧织物回收箱位置、厨余垃圾投放时段、各类垃圾收运处理企业等信息。（4分）</t>
        </is>
      </c>
      <c r="E87" t="inlineStr">
        <is>
          <t>-2</t>
        </is>
      </c>
      <c r="F87" s="5" t="inlineStr">
        <is>
          <t>（2）责任公示牌缺失(-2)（1处问题）</t>
        </is>
      </c>
      <c r="G87">
        <f>HYPERLINK("https://yueling-buddy.github.io/xxr-inspection-album/weeks/2026-09-03/venue/v-%E7%A6%8F%E7%94%B0%E5%8C%BA%E6%99%AF%E7%94%B0%E8%B7%AF81%E5%8F%B7_%E7%A2%A7%E6%99%AF%E5%9B%AD.html","查看证据")</f>
        <v/>
      </c>
    </row>
    <row r="88">
      <c r="A88" t="inlineStr">
        <is>
          <t>住宅小区</t>
        </is>
      </c>
      <c r="B88" t="inlineStr">
        <is>
          <t>碧景园</t>
        </is>
      </c>
      <c r="C88" t="inlineStr">
        <is>
          <t>1.9</t>
        </is>
      </c>
      <c r="D88" s="5" t="inlineStr">
        <is>
          <t>各设施齐全完好，摆放整齐有序，使用功能正常，没有严重破损、陈旧问题，不得拆除投放口盖板支撑杆。（6分）</t>
        </is>
      </c>
      <c r="E88" t="inlineStr">
        <is>
          <t>-2</t>
        </is>
      </c>
      <c r="F88" s="5" t="inlineStr">
        <is>
          <t>（3）内桶错放导致桶盖无法正常打开，未放置垃圾内桶等影响正常使用(-2)（1处问题）</t>
        </is>
      </c>
      <c r="G88">
        <f>HYPERLINK("https://yueling-buddy.github.io/xxr-inspection-album/weeks/2026-09-03/venue/v-%E7%A6%8F%E7%94%B0%E5%8C%BA%E6%99%AF%E7%94%B0%E8%B7%AF81%E5%8F%B7_%E7%A2%A7%E6%99%AF%E5%9B%AD.html","查看证据")</f>
        <v/>
      </c>
    </row>
    <row r="89">
      <c r="A89" t="inlineStr">
        <is>
          <t>住宅小区</t>
        </is>
      </c>
      <c r="B89" t="inlineStr">
        <is>
          <t>碧景园</t>
        </is>
      </c>
      <c r="C89" t="inlineStr">
        <is>
          <t>1.14</t>
        </is>
      </c>
      <c r="D89" s="5" t="inlineStr">
        <is>
          <t>各类垃圾及时清运，投放点及其周围环境干净整洁，没有垃圾满溢、暴露垃圾、杂物堆放、严重积水或明显异味等问题。（6分）</t>
        </is>
      </c>
      <c r="E89" t="inlineStr">
        <is>
          <t>-2</t>
        </is>
      </c>
      <c r="F89" s="5" t="inlineStr">
        <is>
          <t>（2）垃圾收集容器满溢、未及时清运(-2)（1处问题）</t>
        </is>
      </c>
      <c r="G89">
        <f>HYPERLINK("https://yueling-buddy.github.io/xxr-inspection-album/weeks/2026-09-03/venue/v-%E7%A6%8F%E7%94%B0%E5%8C%BA%E6%99%AF%E7%94%B0%E8%B7%AF81%E5%8F%B7_%E7%A2%A7%E6%99%AF%E5%9B%AD.html","查看证据")</f>
        <v/>
      </c>
    </row>
    <row r="90">
      <c r="A90" t="inlineStr">
        <is>
          <t>住宅小区</t>
        </is>
      </c>
      <c r="B90" t="inlineStr">
        <is>
          <t>碧景园</t>
        </is>
      </c>
      <c r="C90" t="inlineStr">
        <is>
          <t>1.17</t>
        </is>
      </c>
      <c r="D90" s="5" t="inlineStr">
        <is>
          <t>转运桶应在黄线划定区域内摆放整齐并保持全天关闭（作业状态除外），禁止罩外摆桶供居民投放。（6分）</t>
        </is>
      </c>
      <c r="E90" t="inlineStr">
        <is>
          <t>-2</t>
        </is>
      </c>
      <c r="F90" s="5" t="inlineStr">
        <is>
          <t>（3）监控范围外罩外摆桶并开盖供居民投放(-2)（1处问题）</t>
        </is>
      </c>
      <c r="G90">
        <f>HYPERLINK("https://yueling-buddy.github.io/xxr-inspection-album/weeks/2026-09-03/venue/v-%E7%A6%8F%E7%94%B0%E5%8C%BA%E6%99%AF%E7%94%B0%E8%B7%AF81%E5%8F%B7_%E7%A2%A7%E6%99%AF%E5%9B%AD.html","查看证据")</f>
        <v/>
      </c>
    </row>
    <row r="91">
      <c r="A91" t="inlineStr">
        <is>
          <t>住宅小区</t>
        </is>
      </c>
      <c r="B91" t="inlineStr">
        <is>
          <t>碧景园</t>
        </is>
      </c>
      <c r="C91" t="inlineStr">
        <is>
          <t>2.1</t>
        </is>
      </c>
      <c r="D91" s="5" t="inlineStr">
        <is>
          <t>设置标识牌，外观使用“深i回收”标识，封闭围挡，地面硬底化。（2分）</t>
        </is>
      </c>
      <c r="E91" t="inlineStr">
        <is>
          <t>-2</t>
        </is>
      </c>
      <c r="F91" s="5" t="inlineStr">
        <is>
          <t>（3）无标识牌，或标识牌被遮挡、模糊/脱落/未更新等(-2)（1处问题）</t>
        </is>
      </c>
      <c r="G91">
        <f>HYPERLINK("https://yueling-buddy.github.io/xxr-inspection-album/weeks/2026-09-03/venue/v-%E7%A6%8F%E7%94%B0%E5%8C%BA%E6%99%AF%E7%94%B0%E8%B7%AF81%E5%8F%B7_%E7%A2%A7%E6%99%AF%E5%9B%AD.html","查看证据")</f>
        <v/>
      </c>
    </row>
    <row r="92">
      <c r="A92" t="inlineStr">
        <is>
          <t>住宅小区</t>
        </is>
      </c>
      <c r="B92" t="inlineStr">
        <is>
          <t>碧景园</t>
        </is>
      </c>
      <c r="C92" t="inlineStr">
        <is>
          <t>6.1</t>
        </is>
      </c>
      <c r="D92" s="5" t="inlineStr">
        <is>
          <t>公共区域宣传栏张贴垃圾分类投放指引或宣传海报。（2分）</t>
        </is>
      </c>
      <c r="E92" t="inlineStr">
        <is>
          <t>-2</t>
        </is>
      </c>
      <c r="F92" s="5" t="inlineStr">
        <is>
          <t>（2）未规范张贴垃圾分类宣传海报（海报缺失、内容错误/未更新等）(-2)（1处问题）</t>
        </is>
      </c>
      <c r="G92">
        <f>HYPERLINK("https://yueling-buddy.github.io/xxr-inspection-album/weeks/2026-09-03/venue/v-%E7%A6%8F%E7%94%B0%E5%8C%BA%E6%99%AF%E7%94%B0%E8%B7%AF81%E5%8F%B7_%E7%A2%A7%E6%99%AF%E5%9B%AD.html","查看证据")</f>
        <v/>
      </c>
    </row>
    <row r="93">
      <c r="A93" t="inlineStr">
        <is>
          <t>公园景区</t>
        </is>
      </c>
      <c r="B93" t="inlineStr">
        <is>
          <t>青青世界</t>
        </is>
      </c>
      <c r="C93" t="inlineStr">
        <is>
          <t>2.4</t>
        </is>
      </c>
      <c r="D93" s="5" t="inlineStr">
        <is>
          <t>绿化垃圾与240升及以下的生活垃圾收集容器要根据对应的颜色套袋并分类运输处置。（4分）</t>
        </is>
      </c>
      <c r="E93" t="inlineStr">
        <is>
          <t>-2</t>
        </is>
      </c>
      <c r="F93" s="5" t="inlineStr">
        <is>
          <t>（3）240升及以下的生活垃圾收集容器未按要求套袋或套袋颜色错误(-2)（1处问题）</t>
        </is>
      </c>
      <c r="G93">
        <f>HYPERLINK("https://yueling-buddy.github.io/xxr-inspection-album/weeks/2026-09-03/venue/v-%E5%B9%BF%E4%B8%9C%E7%9C%81%E6%B7%B1%E5%9C%B3%E5%B8%82%E5%8D%97%E5%B1%B1%E5%8C%BA%E5%8D%97%E5%B1%B1%E8%A1%97%E9%81%93%E9%9D%92%E9%9D%92%E4%B8%96%E7%95%8C%E6%B7%B1%E5%9C%B3%E5%8D%97%E5%B1%B1%E9%9D%92%E9%9D%92%E4%B8%96%E7%95%8C_%E9%9D%92%E9%9D%92%E4%B8%96%E7%95%8C.html","查看证据")</f>
        <v/>
      </c>
    </row>
    <row r="94">
      <c r="A94" t="inlineStr">
        <is>
          <t>公园景区</t>
        </is>
      </c>
      <c r="B94" t="inlineStr">
        <is>
          <t>青青世界</t>
        </is>
      </c>
      <c r="C94" t="inlineStr">
        <is>
          <t>2.5</t>
        </is>
      </c>
      <c r="D94" s="5" t="inlineStr">
        <is>
          <t>管理维护垃圾分类设施，将环境卫生、垃圾分类等要求纳入日常巡查内容。（3分）</t>
        </is>
      </c>
      <c r="E94" t="inlineStr">
        <is>
          <t>-3</t>
        </is>
      </c>
      <c r="F94" s="5" t="inlineStr">
        <is>
          <t>（2）未将相关要求纳入日常巡查内容(-3)（1处问题）</t>
        </is>
      </c>
      <c r="G94">
        <f>HYPERLINK("https://yueling-buddy.github.io/xxr-inspection-album/weeks/2026-09-03/venue/v-%E5%B9%BF%E4%B8%9C%E7%9C%81%E6%B7%B1%E5%9C%B3%E5%B8%82%E5%8D%97%E5%B1%B1%E5%8C%BA%E5%8D%97%E5%B1%B1%E8%A1%97%E9%81%93%E9%9D%92%E9%9D%92%E4%B8%96%E7%95%8C%E6%B7%B1%E5%9C%B3%E5%8D%97%E5%B1%B1%E9%9D%92%E9%9D%92%E4%B8%96%E7%95%8C_%E9%9D%92%E9%9D%92%E4%B8%96%E7%95%8C.html","查看证据")</f>
        <v/>
      </c>
    </row>
    <row r="95">
      <c r="A95" t="inlineStr">
        <is>
          <t>城中村</t>
        </is>
      </c>
      <c r="B95" t="inlineStr">
        <is>
          <t>章阁老村东区</t>
        </is>
      </c>
      <c r="C95" t="inlineStr">
        <is>
          <t>1.6</t>
        </is>
      </c>
      <c r="D95" s="5" t="inlineStr">
        <is>
          <t>设置洗手设施。（2分）</t>
        </is>
      </c>
      <c r="E95" t="inlineStr">
        <is>
          <t>-2</t>
        </is>
      </c>
      <c r="F95" s="5" t="inlineStr">
        <is>
          <t>（3）洗手设施不规范（包括水龙头损坏或明显松动，水龙头不出水，洗手盆堵塞等）(-1)（2处问题）</t>
        </is>
      </c>
      <c r="G95">
        <f>HYPERLINK("https://yueling-buddy.github.io/xxr-inspection-album/weeks/2026-09-03/venue/v-%E7%AB%A0%E9%98%81%E8%80%81%E6%9D%91%E4%B8%9C%E5%8C%BA_%E7%AB%A0%E9%98%81%E8%80%81%E6%9D%91%E4%B8%9C%E5%8C%BA.html","查看证据")</f>
        <v/>
      </c>
    </row>
    <row r="96">
      <c r="A96" t="inlineStr">
        <is>
          <t>城中村</t>
        </is>
      </c>
      <c r="B96" t="inlineStr">
        <is>
          <t>章阁老村东区</t>
        </is>
      </c>
      <c r="C96" t="inlineStr">
        <is>
          <t>1.16</t>
        </is>
      </c>
      <c r="D96" s="5" t="inlineStr">
        <is>
          <t>禁止通过捆绑、卡挡或上锁等方式封闭或遮挡投放口。（4分）</t>
        </is>
      </c>
      <c r="E96" t="inlineStr">
        <is>
          <t>-4</t>
        </is>
      </c>
      <c r="F96" s="5" t="inlineStr">
        <is>
          <t>（2）投放口被封闭或遮挡(-2)（1处问题）； （4）误时投放点未开放(-2)（2处问题）</t>
        </is>
      </c>
      <c r="G96">
        <f>HYPERLINK("https://yueling-buddy.github.io/xxr-inspection-album/weeks/2026-09-03/venue/v-%E7%AB%A0%E9%98%81%E8%80%81%E6%9D%91%E4%B8%9C%E5%8C%BA_%E7%AB%A0%E9%98%81%E8%80%81%E6%9D%91%E4%B8%9C%E5%8C%BA.html","查看证据")</f>
        <v/>
      </c>
    </row>
    <row r="97">
      <c r="A97" t="inlineStr">
        <is>
          <t>城中村</t>
        </is>
      </c>
      <c r="B97" t="inlineStr">
        <is>
          <t>章阁老村东区</t>
        </is>
      </c>
      <c r="C97" t="inlineStr">
        <is>
          <t>1.17</t>
        </is>
      </c>
      <c r="D97" s="5" t="inlineStr">
        <is>
          <t>转运桶应在黄线划定区域内摆放整齐并保持全天关闭（作业状态除外），禁止罩外摆桶供居民投放。（6分）</t>
        </is>
      </c>
      <c r="E97" t="inlineStr">
        <is>
          <t>-6</t>
        </is>
      </c>
      <c r="F97" s="5" t="inlineStr">
        <is>
          <t>（3）监控范围外罩外摆桶并开盖供居民投放(-2)（3处问题）</t>
        </is>
      </c>
      <c r="G97">
        <f>HYPERLINK("https://yueling-buddy.github.io/xxr-inspection-album/weeks/2026-09-03/venue/v-%E7%AB%A0%E9%98%81%E8%80%81%E6%9D%91%E4%B8%9C%E5%8C%BA_%E7%AB%A0%E9%98%81%E8%80%81%E6%9D%91%E4%B8%9C%E5%8C%BA.html","查看证据")</f>
        <v/>
      </c>
    </row>
    <row r="98">
      <c r="A98" t="inlineStr">
        <is>
          <t>住宅小区</t>
        </is>
      </c>
      <c r="B98" t="inlineStr">
        <is>
          <t>青青山庄</t>
        </is>
      </c>
      <c r="C98" t="inlineStr">
        <is>
          <t>1.2</t>
        </is>
      </c>
      <c r="D98" s="5" t="inlineStr">
        <is>
          <t>至少设置一处有害垃圾收集容器。（2分）</t>
        </is>
      </c>
      <c r="E98" t="inlineStr">
        <is>
          <t>-2</t>
        </is>
      </c>
      <c r="F98" s="5" t="inlineStr">
        <is>
          <t>（2）分类收集容器缺失(-2)（1处问题）</t>
        </is>
      </c>
      <c r="G98">
        <f>HYPERLINK("https://yueling-buddy.github.io/xxr-inspection-album/weeks/2026-09-03/venue/v-%E6%B7%B1%E5%9C%B3%E5%B8%82%E5%8D%97%E5%B1%B1%E5%8C%BA%E5%8D%97%E5%B1%B1%E8%A1%97%E9%81%93%E9%9D%92%E9%9D%92%E8%B7%AF2%E5%8F%B7_%E9%9D%92%E9%9D%92%E5%B1%B1%E5%BA%84.html","查看证据")</f>
        <v/>
      </c>
    </row>
    <row r="99">
      <c r="A99" t="inlineStr">
        <is>
          <t>住宅小区</t>
        </is>
      </c>
      <c r="B99" t="inlineStr">
        <is>
          <t>青青山庄</t>
        </is>
      </c>
      <c r="C99" t="inlineStr">
        <is>
          <t>1.9</t>
        </is>
      </c>
      <c r="D99" s="5" t="inlineStr">
        <is>
          <t>各设施齐全完好，摆放整齐有序，使用功能正常，没有严重破损、陈旧问题，不得拆除投放口盖板支撑杆。（6分）</t>
        </is>
      </c>
      <c r="E99" t="inlineStr">
        <is>
          <t>-2</t>
        </is>
      </c>
      <c r="F99" s="5" t="inlineStr">
        <is>
          <t>（5）其他问题说明（备注描述）(-2)（1处问题）</t>
        </is>
      </c>
      <c r="G99">
        <f>HYPERLINK("https://yueling-buddy.github.io/xxr-inspection-album/weeks/2026-09-03/venue/v-%E6%B7%B1%E5%9C%B3%E5%B8%82%E5%8D%97%E5%B1%B1%E5%8C%BA%E5%8D%97%E5%B1%B1%E8%A1%97%E9%81%93%E9%9D%92%E9%9D%92%E8%B7%AF2%E5%8F%B7_%E9%9D%92%E9%9D%92%E5%B1%B1%E5%BA%84.html","查看证据")</f>
        <v/>
      </c>
    </row>
    <row r="100">
      <c r="A100" t="inlineStr">
        <is>
          <t>住宅小区</t>
        </is>
      </c>
      <c r="B100" t="inlineStr">
        <is>
          <t>青青山庄</t>
        </is>
      </c>
      <c r="C100" t="inlineStr">
        <is>
          <t>1.13</t>
        </is>
      </c>
      <c r="D100" s="5" t="inlineStr">
        <is>
          <t>收集容器外壁及内桶保持干净整洁，避免陈旧性脏污，收集容器内无积水。（4分）</t>
        </is>
      </c>
      <c r="E100" t="inlineStr">
        <is>
          <t>-2</t>
        </is>
      </c>
      <c r="F100" s="5" t="inlineStr">
        <is>
          <t>（2）收集容器外壁、内桶存在明显陈旧性脏污，大片锈迹等(-2)（1处问题）</t>
        </is>
      </c>
      <c r="G100">
        <f>HYPERLINK("https://yueling-buddy.github.io/xxr-inspection-album/weeks/2026-09-03/venue/v-%E6%B7%B1%E5%9C%B3%E5%B8%82%E5%8D%97%E5%B1%B1%E5%8C%BA%E5%8D%97%E5%B1%B1%E8%A1%97%E9%81%93%E9%9D%92%E9%9D%92%E8%B7%AF2%E5%8F%B7_%E9%9D%92%E9%9D%92%E5%B1%B1%E5%BA%84.html","查看证据")</f>
        <v/>
      </c>
    </row>
    <row r="101">
      <c r="A101" t="inlineStr">
        <is>
          <t>城中村</t>
        </is>
      </c>
      <c r="B101" t="inlineStr">
        <is>
          <t>章阁老村西区</t>
        </is>
      </c>
      <c r="C101" t="inlineStr">
        <is>
          <t>1.6</t>
        </is>
      </c>
      <c r="D101" s="5" t="inlineStr">
        <is>
          <t>设置洗手设施。（2分）</t>
        </is>
      </c>
      <c r="E101" t="inlineStr">
        <is>
          <t>-1</t>
        </is>
      </c>
      <c r="F101" s="5" t="inlineStr">
        <is>
          <t>（2）洗手设施缺失(-1)（1处问题）</t>
        </is>
      </c>
      <c r="G101">
        <f>HYPERLINK("https://yueling-buddy.github.io/xxr-inspection-album/weeks/2026-09-03/venue/v-%E5%B9%BF%E4%B8%9C%E7%9C%81%E6%B7%B1%E5%9C%B3%E5%B8%82%E9%BE%99%E5%8D%8E%E5%8C%BA_%E6%A8%9F%E9%98%81%E8%B7%AF329%E5%8F%B7_%E7%AB%A0%E9%98%81%E8%80%81%E6%9D%91%E8%A5%BF%E5%8C%BA.html","查看证据")</f>
        <v/>
      </c>
    </row>
    <row r="102">
      <c r="A102" t="inlineStr">
        <is>
          <t>城中村</t>
        </is>
      </c>
      <c r="B102" t="inlineStr">
        <is>
          <t>章阁老村西区</t>
        </is>
      </c>
      <c r="C102" t="inlineStr">
        <is>
          <t>1.7</t>
        </is>
      </c>
      <c r="D102" s="5" t="inlineStr">
        <is>
          <t>设置照明设施，夜间光线充足。（2分）</t>
        </is>
      </c>
      <c r="E102" t="inlineStr">
        <is>
          <t>-1</t>
        </is>
      </c>
      <c r="F102" s="5" t="inlineStr">
        <is>
          <t>（2）照明设施缺失、损坏或光线不足(-1)（1处问题）</t>
        </is>
      </c>
      <c r="G102">
        <f>HYPERLINK("https://yueling-buddy.github.io/xxr-inspection-album/weeks/2026-09-03/venue/v-%E5%B9%BF%E4%B8%9C%E7%9C%81%E6%B7%B1%E5%9C%B3%E5%B8%82%E9%BE%99%E5%8D%8E%E5%8C%BA_%E6%A8%9F%E9%98%81%E8%B7%AF329%E5%8F%B7_%E7%AB%A0%E9%98%81%E8%80%81%E6%9D%91%E8%A5%BF%E5%8C%BA.html","查看证据")</f>
        <v/>
      </c>
    </row>
    <row r="103">
      <c r="A103" t="inlineStr">
        <is>
          <t>城中村</t>
        </is>
      </c>
      <c r="B103" t="inlineStr">
        <is>
          <t>章阁老村西区</t>
        </is>
      </c>
      <c r="C103" t="inlineStr">
        <is>
          <t>1.8</t>
        </is>
      </c>
      <c r="D103" s="5" t="inlineStr">
        <is>
          <t>设置公示牌，清晰公示管理责任人和电话、专项垃圾暂存点和废旧织物回收箱位置、厨余垃圾投放时段、各类垃圾收运处理企业等信息。（4分）</t>
        </is>
      </c>
      <c r="E103" t="inlineStr">
        <is>
          <t>-4</t>
        </is>
      </c>
      <c r="F103" s="5" t="inlineStr">
        <is>
          <t>（2）责任公示牌缺失(-2)（1处问题）； （3）公示牌设置不规范（公示牌脱落、内容缺失、错误或模糊等）(-2)（3处问题）</t>
        </is>
      </c>
      <c r="G103">
        <f>HYPERLINK("https://yueling-buddy.github.io/xxr-inspection-album/weeks/2026-09-03/venue/v-%E5%B9%BF%E4%B8%9C%E7%9C%81%E6%B7%B1%E5%9C%B3%E5%B8%82%E9%BE%99%E5%8D%8E%E5%8C%BA_%E6%A8%9F%E9%98%81%E8%B7%AF329%E5%8F%B7_%E7%AB%A0%E9%98%81%E8%80%81%E6%9D%91%E8%A5%BF%E5%8C%BA.html","查看证据")</f>
        <v/>
      </c>
    </row>
    <row r="104">
      <c r="A104" t="inlineStr">
        <is>
          <t>城中村</t>
        </is>
      </c>
      <c r="B104" t="inlineStr">
        <is>
          <t>章阁老村西区</t>
        </is>
      </c>
      <c r="C104" t="inlineStr">
        <is>
          <t>1.14</t>
        </is>
      </c>
      <c r="D104" s="5" t="inlineStr">
        <is>
          <t>各类垃圾及时清运，投放点及其周围环境干净整洁，没有垃圾满溢、暴露垃圾、杂物堆放、严重积水或明显异味等问题。（6分）</t>
        </is>
      </c>
      <c r="E104" t="inlineStr">
        <is>
          <t>-6</t>
        </is>
      </c>
      <c r="F104" s="5" t="inlineStr">
        <is>
          <t>（3）环境卫生不整洁（投放点有暴露垃圾、杂物堆放，洗手池严重脏污，地面未硬底化，有明显污水污渍等）(-2)（3处问题）</t>
        </is>
      </c>
      <c r="G104">
        <f>HYPERLINK("https://yueling-buddy.github.io/xxr-inspection-album/weeks/2026-09-03/venue/v-%E5%B9%BF%E4%B8%9C%E7%9C%81%E6%B7%B1%E5%9C%B3%E5%B8%82%E9%BE%99%E5%8D%8E%E5%8C%BA_%E6%A8%9F%E9%98%81%E8%B7%AF329%E5%8F%B7_%E7%AB%A0%E9%98%81%E8%80%81%E6%9D%91%E8%A5%BF%E5%8C%BA.html","查看证据")</f>
        <v/>
      </c>
    </row>
    <row r="105">
      <c r="A105" t="inlineStr">
        <is>
          <t>城中村</t>
        </is>
      </c>
      <c r="B105" t="inlineStr">
        <is>
          <t>章阁老村西区</t>
        </is>
      </c>
      <c r="C105" t="inlineStr">
        <is>
          <t>1.16</t>
        </is>
      </c>
      <c r="D105" s="5" t="inlineStr">
        <is>
          <t>禁止通过捆绑、卡挡或上锁等方式封闭或遮挡投放口。（4分）</t>
        </is>
      </c>
      <c r="E105" t="inlineStr">
        <is>
          <t>-4</t>
        </is>
      </c>
      <c r="F105" s="5" t="inlineStr">
        <is>
          <t>（2）投放口被封闭或遮挡(-2)（3处问题）</t>
        </is>
      </c>
      <c r="G105">
        <f>HYPERLINK("https://yueling-buddy.github.io/xxr-inspection-album/weeks/2026-09-03/venue/v-%E5%B9%BF%E4%B8%9C%E7%9C%81%E6%B7%B1%E5%9C%B3%E5%B8%82%E9%BE%99%E5%8D%8E%E5%8C%BA_%E6%A8%9F%E9%98%81%E8%B7%AF329%E5%8F%B7_%E7%AB%A0%E9%98%81%E8%80%81%E6%9D%91%E8%A5%BF%E5%8C%BA.html","查看证据")</f>
        <v/>
      </c>
    </row>
    <row r="106">
      <c r="A106" t="inlineStr">
        <is>
          <t>城中村</t>
        </is>
      </c>
      <c r="B106" t="inlineStr">
        <is>
          <t>章阁老村西区</t>
        </is>
      </c>
      <c r="C106" t="inlineStr">
        <is>
          <t>1.17</t>
        </is>
      </c>
      <c r="D106" s="5" t="inlineStr">
        <is>
          <t>转运桶应在黄线划定区域内摆放整齐并保持全天关闭（作业状态除外），禁止罩外摆桶供居民投放。（6分）</t>
        </is>
      </c>
      <c r="E106" t="inlineStr">
        <is>
          <t>-6</t>
        </is>
      </c>
      <c r="F106" s="5" t="inlineStr">
        <is>
          <t>（3）监控范围外罩外摆桶并开盖供居民投放(-2)（4处问题）</t>
        </is>
      </c>
      <c r="G106">
        <f>HYPERLINK("https://yueling-buddy.github.io/xxr-inspection-album/weeks/2026-09-03/venue/v-%E5%B9%BF%E4%B8%9C%E7%9C%81%E6%B7%B1%E5%9C%B3%E5%B8%82%E9%BE%99%E5%8D%8E%E5%8C%BA_%E6%A8%9F%E9%98%81%E8%B7%AF329%E5%8F%B7_%E7%AB%A0%E9%98%81%E8%80%81%E6%9D%91%E8%A5%BF%E5%8C%BA.html","查看证据")</f>
        <v/>
      </c>
    </row>
    <row r="107">
      <c r="A107" t="inlineStr">
        <is>
          <t>城中村</t>
        </is>
      </c>
      <c r="B107" t="inlineStr">
        <is>
          <t>章阁老村西区</t>
        </is>
      </c>
      <c r="C107" t="inlineStr">
        <is>
          <t>1.18</t>
        </is>
      </c>
      <c r="D107" s="5" t="inlineStr">
        <is>
          <t>禁止在楼层、地面或车库等设置分散式垃圾收集容器。（4分）</t>
        </is>
      </c>
      <c r="E107" t="inlineStr">
        <is>
          <t>-5</t>
        </is>
      </c>
      <c r="F107" s="5" t="inlineStr">
        <is>
          <t>（2）设置分散式垃圾收集容器（随意摆桶未划黄线）(-5)（1处问题）</t>
        </is>
      </c>
      <c r="G107">
        <f>HYPERLINK("https://yueling-buddy.github.io/xxr-inspection-album/weeks/2026-09-03/venue/v-%E5%B9%BF%E4%B8%9C%E7%9C%81%E6%B7%B1%E5%9C%B3%E5%B8%82%E9%BE%99%E5%8D%8E%E5%8C%BA_%E6%A8%9F%E9%98%81%E8%B7%AF329%E5%8F%B7_%E7%AB%A0%E9%98%81%E8%80%81%E6%9D%91%E8%A5%BF%E5%8C%BA.html","查看证据")</f>
        <v/>
      </c>
    </row>
    <row r="108">
      <c r="A108" t="inlineStr">
        <is>
          <t>住宅小区</t>
        </is>
      </c>
      <c r="B108" t="inlineStr">
        <is>
          <t>诺德假日花园</t>
        </is>
      </c>
      <c r="C108" t="inlineStr">
        <is>
          <t>1.5</t>
        </is>
      </c>
      <c r="D108" s="5" t="inlineStr">
        <is>
          <t>分类标志完整、正确、清晰，各类垃圾收集容器外罩和内桶的颜色正确。（4分）</t>
        </is>
      </c>
      <c r="E108" t="inlineStr">
        <is>
          <t>-4</t>
        </is>
      </c>
      <c r="F108" s="5" t="inlineStr">
        <is>
          <t>（2）分类桶标志缺失或不规范（标志未更新、标志错误、标志模糊等）(-2)（1处问题）； （3）外罩和内桶颜色不正确;（不强制要求垃圾桶套袋，若套袋的，收集容器应按垃圾类别对应颜色套袋）(-2)（1处问题）</t>
        </is>
      </c>
      <c r="G108">
        <f>HYPERLINK("https://yueling-buddy.github.io/xxr-inspection-album/weeks/2026-09-03/venue/v-%E6%B7%B1%E5%9C%B3%E5%B8%82%E5%8D%97%E5%B1%B1%E5%8C%BA%E5%8D%97%E5%B1%B1%E8%A1%97%E9%81%93%E5%89%8D%E6%B5%B7%E8%B7%AF0369%E5%8F%B7_%E8%AF%BA%E5%BE%B7%E5%81%87%E6%97%A5%E8%8A%B1%E5%9B%AD.html","查看证据")</f>
        <v/>
      </c>
    </row>
    <row r="109">
      <c r="A109" t="inlineStr">
        <is>
          <t>住宅小区</t>
        </is>
      </c>
      <c r="B109" t="inlineStr">
        <is>
          <t>诺德假日花园</t>
        </is>
      </c>
      <c r="C109" t="inlineStr">
        <is>
          <t>1.9</t>
        </is>
      </c>
      <c r="D109" s="5" t="inlineStr">
        <is>
          <t>各设施齐全完好，摆放整齐有序，使用功能正常，没有严重破损、陈旧问题，不得拆除投放口盖板支撑杆。（6分）</t>
        </is>
      </c>
      <c r="E109" t="inlineStr">
        <is>
          <t>-4</t>
        </is>
      </c>
      <c r="F109" s="5" t="inlineStr">
        <is>
          <t>（2）分类设施损坏或摆放不整齐(-2)（2处问题）</t>
        </is>
      </c>
      <c r="G109">
        <f>HYPERLINK("https://yueling-buddy.github.io/xxr-inspection-album/weeks/2026-09-03/venue/v-%E6%B7%B1%E5%9C%B3%E5%B8%82%E5%8D%97%E5%B1%B1%E5%8C%BA%E5%8D%97%E5%B1%B1%E8%A1%97%E9%81%93%E5%89%8D%E6%B5%B7%E8%B7%AF0369%E5%8F%B7_%E8%AF%BA%E5%BE%B7%E5%81%87%E6%97%A5%E8%8A%B1%E5%9B%AD.html","查看证据")</f>
        <v/>
      </c>
    </row>
    <row r="110">
      <c r="A110" t="inlineStr">
        <is>
          <t>住宅小区</t>
        </is>
      </c>
      <c r="B110" t="inlineStr">
        <is>
          <t>诺德假日花园</t>
        </is>
      </c>
      <c r="C110" t="inlineStr">
        <is>
          <t>2.3</t>
        </is>
      </c>
      <c r="D110" s="5" t="inlineStr">
        <is>
          <t>各类垃圾及时清运。（2分）</t>
        </is>
      </c>
      <c r="E110" t="inlineStr">
        <is>
          <t>-2</t>
        </is>
      </c>
      <c r="F110" s="5" t="inlineStr">
        <is>
          <t>（2）暂存点内垃圾清运不及时(-2)（1处问题）</t>
        </is>
      </c>
      <c r="G110">
        <f>HYPERLINK("https://yueling-buddy.github.io/xxr-inspection-album/weeks/2026-09-03/venue/v-%E6%B7%B1%E5%9C%B3%E5%B8%82%E5%8D%97%E5%B1%B1%E5%8C%BA%E5%8D%97%E5%B1%B1%E8%A1%97%E9%81%93%E5%89%8D%E6%B5%B7%E8%B7%AF0369%E5%8F%B7_%E8%AF%BA%E5%BE%B7%E5%81%87%E6%97%A5%E8%8A%B1%E5%9B%AD.html","查看证据")</f>
        <v/>
      </c>
    </row>
    <row r="111">
      <c r="A111" t="inlineStr">
        <is>
          <t>住宅小区</t>
        </is>
      </c>
      <c r="B111" t="inlineStr">
        <is>
          <t>雷圳碧榕湾海景花园</t>
        </is>
      </c>
      <c r="C111" t="inlineStr">
        <is>
          <t>1.13</t>
        </is>
      </c>
      <c r="D111" s="5" t="inlineStr">
        <is>
          <t>收集容器外壁及内桶保持干净整洁，避免陈旧性脏污，收集容器内无积水。（4分）</t>
        </is>
      </c>
      <c r="E111" t="inlineStr">
        <is>
          <t>-2</t>
        </is>
      </c>
      <c r="F111" s="5" t="inlineStr">
        <is>
          <t>（2）收集容器外壁、内桶存在明显陈旧性脏污，大片锈迹等(-2)（1处问题）</t>
        </is>
      </c>
      <c r="G111">
        <f>HYPERLINK("https://yueling-buddy.github.io/xxr-inspection-album/weeks/2026-09-03/venue/v-%E6%B7%B1%E5%9C%B3%E5%B8%82%E5%8D%97%E5%B1%B1%E5%8C%BA%E5%8D%97%E5%B1%B1%E8%A1%97%E9%81%93%E5%89%8D%E6%B5%B7%E8%B7%AF0389%E5%8F%B7_%E9%9B%B7%E5%9C%B3%E7%A2%A7%E6%A6%95%E6%B9%BE%E6%B5%B7%E6%99%AF%E8%8A%B1%E5%9B%AD.html","查看证据")</f>
        <v/>
      </c>
    </row>
    <row r="112">
      <c r="A112" t="inlineStr">
        <is>
          <t>住宅小区</t>
        </is>
      </c>
      <c r="B112" t="inlineStr">
        <is>
          <t>雷圳碧榕湾海景花园</t>
        </is>
      </c>
      <c r="C112" t="inlineStr">
        <is>
          <t>1.14</t>
        </is>
      </c>
      <c r="D112" s="5" t="inlineStr">
        <is>
          <t>各类垃圾及时清运，投放点及其周围环境干净整洁，没有垃圾满溢、暴露垃圾、杂物堆放、严重积水或明显异味等问题。（6分）</t>
        </is>
      </c>
      <c r="E112" t="inlineStr">
        <is>
          <t>-6</t>
        </is>
      </c>
      <c r="F112" s="5" t="inlineStr">
        <is>
          <t>（3）环境卫生不整洁（投放点有暴露垃圾、杂物堆放，洗手池严重脏污，地面未硬底化，有明显污水污渍等）(-2)（3处问题）</t>
        </is>
      </c>
      <c r="G112">
        <f>HYPERLINK("https://yueling-buddy.github.io/xxr-inspection-album/weeks/2026-09-03/venue/v-%E6%B7%B1%E5%9C%B3%E5%B8%82%E5%8D%97%E5%B1%B1%E5%8C%BA%E5%8D%97%E5%B1%B1%E8%A1%97%E9%81%93%E5%89%8D%E6%B5%B7%E8%B7%AF0389%E5%8F%B7_%E9%9B%B7%E5%9C%B3%E7%A2%A7%E6%A6%95%E6%B9%BE%E6%B5%B7%E6%99%AF%E8%8A%B1%E5%9B%AD.html","查看证据")</f>
        <v/>
      </c>
    </row>
    <row r="113">
      <c r="A113" t="inlineStr">
        <is>
          <t>城中村</t>
        </is>
      </c>
      <c r="B113" t="inlineStr">
        <is>
          <t>井水龙</t>
        </is>
      </c>
      <c r="C113" t="inlineStr">
        <is>
          <t>1.17</t>
        </is>
      </c>
      <c r="D113" s="5" t="inlineStr">
        <is>
          <t>转运桶应在黄线划定区域内摆放整齐并保持全天关闭（作业状态除外），禁止罩外摆桶供居民投放。（6分）</t>
        </is>
      </c>
      <c r="E113" t="inlineStr">
        <is>
          <t>-2</t>
        </is>
      </c>
      <c r="F113" s="5" t="inlineStr">
        <is>
          <t>（3）监控范围外罩外摆桶并开盖供居民投放(-2)（1处问题）</t>
        </is>
      </c>
      <c r="G113">
        <f>HYPERLINK("https://yueling-buddy.github.io/xxr-inspection-album/weeks/2026-09-03/venue/v-%E8%80%81%E5%9D%91%E4%BA%95%E6%B0%B4%E9%BE%991%E5%8F%B7_%E4%BA%95%E6%B0%B4%E9%BE%99.html","查看证据")</f>
        <v/>
      </c>
    </row>
    <row r="114">
      <c r="A114" t="inlineStr">
        <is>
          <t>城中村</t>
        </is>
      </c>
      <c r="B114" t="inlineStr">
        <is>
          <t>东坑</t>
        </is>
      </c>
      <c r="C114" t="inlineStr">
        <is>
          <t>1.17</t>
        </is>
      </c>
      <c r="D114" s="5" t="inlineStr">
        <is>
          <t>转运桶应在黄线划定区域内摆放整齐并保持全天关闭（作业状态除外），禁止罩外摆桶供居民投放。（6分）</t>
        </is>
      </c>
      <c r="E114" t="inlineStr">
        <is>
          <t>-2</t>
        </is>
      </c>
      <c r="F114" s="5" t="inlineStr">
        <is>
          <t>（3）监控范围外罩外摆桶并开盖供居民投放(-2)（1处问题）</t>
        </is>
      </c>
      <c r="G114">
        <f>HYPERLINK("https://yueling-buddy.github.io/xxr-inspection-album/weeks/2026-09-03/venue/v-%E8%80%81%E5%9D%91%E4%B8%9C%E5%9D%9183%E5%8F%B7_%E4%B8%9C%E5%9D%91.html","查看证据")</f>
        <v/>
      </c>
    </row>
    <row r="115">
      <c r="A115" t="inlineStr">
        <is>
          <t>城中村</t>
        </is>
      </c>
      <c r="B115" t="inlineStr">
        <is>
          <t>塘头新村</t>
        </is>
      </c>
      <c r="C115" t="inlineStr">
        <is>
          <t>1.8</t>
        </is>
      </c>
      <c r="D115" s="5" t="inlineStr">
        <is>
          <t>设置公示牌，清晰公示管理责任人和电话、专项垃圾暂存点和废旧织物回收箱位置、厨余垃圾投放时段、各类垃圾收运处理企业等信息。（4分）</t>
        </is>
      </c>
      <c r="E115" t="inlineStr">
        <is>
          <t>-2</t>
        </is>
      </c>
      <c r="F115" s="5" t="inlineStr">
        <is>
          <t>（2）责任公示牌缺失(-2)（1处问题）</t>
        </is>
      </c>
      <c r="G115">
        <f>HYPERLINK("https://yueling-buddy.github.io/xxr-inspection-album/weeks/2026-09-03/venue/v-%E5%A1%98%E5%A4%B4%E5%A4%A7%E9%81%9368%E5%8F%B7_%E5%A1%98%E5%A4%B4%E6%96%B0%E6%9D%91.html","查看证据")</f>
        <v/>
      </c>
    </row>
    <row r="116">
      <c r="A116" t="inlineStr">
        <is>
          <t>城中村</t>
        </is>
      </c>
      <c r="B116" t="inlineStr">
        <is>
          <t>塘头新村</t>
        </is>
      </c>
      <c r="C116" t="inlineStr">
        <is>
          <t>1.9</t>
        </is>
      </c>
      <c r="D116" s="5" t="inlineStr">
        <is>
          <t>各设施齐全完好，摆放整齐有序，使用功能正常，没有严重破损、陈旧问题，不得拆除投放口盖板支撑杆。（6分）</t>
        </is>
      </c>
      <c r="E116" t="inlineStr">
        <is>
          <t>-2</t>
        </is>
      </c>
      <c r="F116" s="5" t="inlineStr">
        <is>
          <t>（2）分类设施损坏或摆放不整齐(-2)（1处问题）</t>
        </is>
      </c>
      <c r="G116">
        <f>HYPERLINK("https://yueling-buddy.github.io/xxr-inspection-album/weeks/2026-09-03/venue/v-%E5%A1%98%E5%A4%B4%E5%A4%A7%E9%81%9368%E5%8F%B7_%E5%A1%98%E5%A4%B4%E6%96%B0%E6%9D%91.html","查看证据")</f>
        <v/>
      </c>
    </row>
    <row r="117">
      <c r="A117" t="inlineStr">
        <is>
          <t>城中村</t>
        </is>
      </c>
      <c r="B117" t="inlineStr">
        <is>
          <t>塘头丽景小区</t>
        </is>
      </c>
      <c r="C117" t="inlineStr">
        <is>
          <t>1.6</t>
        </is>
      </c>
      <c r="D117" s="5" t="inlineStr">
        <is>
          <t>设置洗手设施。（2分）</t>
        </is>
      </c>
      <c r="E117" t="inlineStr">
        <is>
          <t>-2</t>
        </is>
      </c>
      <c r="F117" s="5" t="inlineStr">
        <is>
          <t>（3）洗手设施不规范（包括水龙头损坏或明显松动，水龙头不出水，洗手盆堵塞等）(-1)（2处问题）</t>
        </is>
      </c>
      <c r="G117">
        <f>HYPERLINK("https://yueling-buddy.github.io/xxr-inspection-album/weeks/2026-09-03/venue/v-%E5%B9%BF%E4%B8%9C%E7%9C%81%E6%B7%B1%E5%9C%B3%E5%B8%82%E5%AE%9D%E5%AE%89%E5%8C%BA%E7%9F%B3%E5%B2%A9%E8%A1%97%E9%81%93%E5%A1%98%E5%A4%B4%E4%B8%BD%E6%99%AF%E5%B0%8F%E5%8C%BA%E5%A1%98%E5%A4%B4%E8%B7%AF12%E5%8F%B7%E6%97%81_%E5%A1%98%E5%A4%B4%E4%B8%BD%E6%99%AF%E5%B0%8F%E5%8C%BA.html","查看证据")</f>
        <v/>
      </c>
    </row>
    <row r="118">
      <c r="A118" t="inlineStr">
        <is>
          <t>城中村</t>
        </is>
      </c>
      <c r="B118" t="inlineStr">
        <is>
          <t>塘头丽景小区</t>
        </is>
      </c>
      <c r="C118" t="inlineStr">
        <is>
          <t>1.9</t>
        </is>
      </c>
      <c r="D118" s="5" t="inlineStr">
        <is>
          <t>各设施齐全完好，摆放整齐有序，使用功能正常，没有严重破损、陈旧问题，不得拆除投放口盖板支撑杆。（6分）</t>
        </is>
      </c>
      <c r="E118" t="inlineStr">
        <is>
          <t>-2</t>
        </is>
      </c>
      <c r="F118" s="5" t="inlineStr">
        <is>
          <t>（3）内桶错放导致桶盖无法正常打开，未放置垃圾内桶等影响正常使用(-2)（1处问题）</t>
        </is>
      </c>
      <c r="G118">
        <f>HYPERLINK("https://yueling-buddy.github.io/xxr-inspection-album/weeks/2026-09-03/venue/v-%E5%B9%BF%E4%B8%9C%E7%9C%81%E6%B7%B1%E5%9C%B3%E5%B8%82%E5%AE%9D%E5%AE%89%E5%8C%BA%E7%9F%B3%E5%B2%A9%E8%A1%97%E9%81%93%E5%A1%98%E5%A4%B4%E4%B8%BD%E6%99%AF%E5%B0%8F%E5%8C%BA%E5%A1%98%E5%A4%B4%E8%B7%AF12%E5%8F%B7%E6%97%81_%E5%A1%98%E5%A4%B4%E4%B8%BD%E6%99%AF%E5%B0%8F%E5%8C%BA.html","查看证据")</f>
        <v/>
      </c>
    </row>
    <row r="119">
      <c r="A119" t="inlineStr">
        <is>
          <t>城中村</t>
        </is>
      </c>
      <c r="B119" t="inlineStr">
        <is>
          <t>塘头丽景小区</t>
        </is>
      </c>
      <c r="C119" t="inlineStr">
        <is>
          <t>2.1</t>
        </is>
      </c>
      <c r="D119" s="5" t="inlineStr">
        <is>
          <t>设置标识牌，外观使用“深i回收”标识，封闭围挡，地面硬底化。（2分）</t>
        </is>
      </c>
      <c r="E119" t="inlineStr">
        <is>
          <t>-2</t>
        </is>
      </c>
      <c r="F119" s="5" t="inlineStr">
        <is>
          <t>（5）其他问题说明（备注描述）(-2)（1处问题）</t>
        </is>
      </c>
      <c r="G119">
        <f>HYPERLINK("https://yueling-buddy.github.io/xxr-inspection-album/weeks/2026-09-03/venue/v-%E5%B9%BF%E4%B8%9C%E7%9C%81%E6%B7%B1%E5%9C%B3%E5%B8%82%E5%AE%9D%E5%AE%89%E5%8C%BA%E7%9F%B3%E5%B2%A9%E8%A1%97%E9%81%93%E5%A1%98%E5%A4%B4%E4%B8%BD%E6%99%AF%E5%B0%8F%E5%8C%BA%E5%A1%98%E5%A4%B4%E8%B7%AF12%E5%8F%B7%E6%97%81_%E5%A1%98%E5%A4%B4%E4%B8%BD%E6%99%AF%E5%B0%8F%E5%8C%BA.html","查看证据")</f>
        <v/>
      </c>
    </row>
    <row r="120">
      <c r="A120" t="inlineStr">
        <is>
          <t>城中村</t>
        </is>
      </c>
      <c r="B120" t="inlineStr">
        <is>
          <t>塘头丽景小区</t>
        </is>
      </c>
      <c r="C120" t="inlineStr">
        <is>
          <t>2.2</t>
        </is>
      </c>
      <c r="D120" s="5" t="inlineStr">
        <is>
          <t>设置消防设施，使用功能正常，取用方便。（2分）</t>
        </is>
      </c>
      <c r="E120" t="inlineStr">
        <is>
          <t>-2</t>
        </is>
      </c>
      <c r="F120" s="5" t="inlineStr">
        <is>
          <t>（2）消防设施不规范（设备缺失、破损严重/过期等）(-2)（1处问题）</t>
        </is>
      </c>
      <c r="G120">
        <f>HYPERLINK("https://yueling-buddy.github.io/xxr-inspection-album/weeks/2026-09-03/venue/v-%E5%B9%BF%E4%B8%9C%E7%9C%81%E6%B7%B1%E5%9C%B3%E5%B8%82%E5%AE%9D%E5%AE%89%E5%8C%BA%E7%9F%B3%E5%B2%A9%E8%A1%97%E9%81%93%E5%A1%98%E5%A4%B4%E4%B8%BD%E6%99%AF%E5%B0%8F%E5%8C%BA%E5%A1%98%E5%A4%B4%E8%B7%AF12%E5%8F%B7%E6%97%81_%E5%A1%98%E5%A4%B4%E4%B8%BD%E6%99%AF%E5%B0%8F%E5%8C%BA.html","查看证据")</f>
        <v/>
      </c>
    </row>
    <row r="121">
      <c r="A121" t="inlineStr">
        <is>
          <t>住宅小区</t>
        </is>
      </c>
      <c r="B121" t="inlineStr">
        <is>
          <t>海滨假日</t>
        </is>
      </c>
      <c r="C121" t="inlineStr">
        <is>
          <t>1.14</t>
        </is>
      </c>
      <c r="D121" s="5" t="inlineStr">
        <is>
          <t>各类垃圾及时清运，投放点及其周围环境干净整洁，没有垃圾满溢、暴露垃圾、杂物堆放、严重积水或明显异味等问题。（6分）</t>
        </is>
      </c>
      <c r="E121" t="inlineStr">
        <is>
          <t>-2</t>
        </is>
      </c>
      <c r="F121" s="5" t="inlineStr">
        <is>
          <t>（3）环境卫生不整洁（投放点有暴露垃圾、杂物堆放，洗手池严重脏污，地面未硬底化，有明显污水污渍等）(-2)（1处问题）</t>
        </is>
      </c>
      <c r="G121">
        <f>HYPERLINK("https://yueling-buddy.github.io/xxr-inspection-album/weeks/2026-09-03/venue/v-%E6%B7%B1%E5%9C%B3%E5%B8%82%E7%9B%90%E7%94%B0%E5%8C%BA%E6%B7%B1%E7%9B%90%E8%B7%AF1119%E5%8F%B7_%E6%B5%B7%E6%BB%A8%E5%81%87%E6%97%A5.html","查看证据")</f>
        <v/>
      </c>
    </row>
    <row r="122">
      <c r="A122" t="inlineStr">
        <is>
          <t>住宅小区</t>
        </is>
      </c>
      <c r="B122" t="inlineStr">
        <is>
          <t>海滨假日</t>
        </is>
      </c>
      <c r="C122" t="inlineStr">
        <is>
          <t>2.4</t>
        </is>
      </c>
      <c r="D122" s="5" t="inlineStr">
        <is>
          <t>暂存点及其周围环境干净整洁，没有污水积聚或散落垃圾，禁止存放易燃易爆危险品，禁止违规接电、住人。（2分）</t>
        </is>
      </c>
      <c r="E122" t="inlineStr">
        <is>
          <t>-2</t>
        </is>
      </c>
      <c r="F122" s="5" t="inlineStr">
        <is>
          <t>（4）暂存点外堆放废旧家具等大件垃圾(-2)（1处问题）</t>
        </is>
      </c>
      <c r="G122">
        <f>HYPERLINK("https://yueling-buddy.github.io/xxr-inspection-album/weeks/2026-09-03/venue/v-%E6%B7%B1%E5%9C%B3%E5%B8%82%E7%9B%90%E7%94%B0%E5%8C%BA%E6%B7%B1%E7%9B%90%E8%B7%AF1119%E5%8F%B7_%E6%B5%B7%E6%BB%A8%E5%81%87%E6%97%A5.html","查看证据")</f>
        <v/>
      </c>
    </row>
    <row r="123">
      <c r="A123" t="inlineStr">
        <is>
          <t>住宅小区</t>
        </is>
      </c>
      <c r="B123" t="inlineStr">
        <is>
          <t>春天海</t>
        </is>
      </c>
      <c r="C123" t="inlineStr">
        <is>
          <t>1.14</t>
        </is>
      </c>
      <c r="D123" s="5" t="inlineStr">
        <is>
          <t>各类垃圾及时清运，投放点及其周围环境干净整洁，没有垃圾满溢、暴露垃圾、杂物堆放、严重积水或明显异味等问题。（6分）</t>
        </is>
      </c>
      <c r="E123" t="inlineStr">
        <is>
          <t>-2</t>
        </is>
      </c>
      <c r="F123" s="5" t="inlineStr">
        <is>
          <t>（3）环境卫生不整洁（投放点有暴露垃圾、杂物堆放，洗手池严重脏污，地面未硬底化，有明显污水污渍等）(-2)（1处问题）</t>
        </is>
      </c>
      <c r="G123">
        <f>HYPERLINK("https://yueling-buddy.github.io/xxr-inspection-album/weeks/2026-09-03/venue/v-%E5%B9%BF%E4%B8%9C%E7%9C%81%E6%B7%B1%E5%9C%B3%E5%B8%82%E7%9B%90%E7%94%B0%E5%8C%BA%E7%9B%90%E7%94%B0%E8%A1%97%E9%81%93%E6%B5%B7%E6%BB%A8%E5%81%87%E6%97%A5%E6%98%A5%E5%A4%A9%E6%B5%B7_%E6%98%A5%E5%A4%A9%E6%B5%B7.html","查看证据")</f>
        <v/>
      </c>
    </row>
    <row r="124">
      <c r="A124" t="inlineStr">
        <is>
          <t>住宅小区</t>
        </is>
      </c>
      <c r="B124" t="inlineStr">
        <is>
          <t>星港名苑</t>
        </is>
      </c>
      <c r="C124" t="inlineStr">
        <is>
          <t>1.17</t>
        </is>
      </c>
      <c r="D124" s="5" t="inlineStr">
        <is>
          <t>转运桶应在黄线划定区域内摆放整齐并保持全天关闭（作业状态除外），禁止罩外摆桶供居民投放。（6分）</t>
        </is>
      </c>
      <c r="E124" t="inlineStr">
        <is>
          <t>-2</t>
        </is>
      </c>
      <c r="F124" s="5" t="inlineStr">
        <is>
          <t>（3）监控范围外罩外摆桶并开盖供居民投放(-2)（1处问题）</t>
        </is>
      </c>
      <c r="G124">
        <f>HYPERLINK("https://yueling-buddy.github.io/xxr-inspection-album/weeks/2026-09-03/venue/v-%E5%B9%BF%E4%B8%9C%E7%9C%81%E6%B7%B1%E5%9C%B3%E5%B8%82%E7%9B%90%E7%94%B0%E5%8C%BA%E7%9B%90%E7%94%B0%E8%A1%97%E9%81%93%E6%98%9F%E6%B8%AF%E5%90%8D%E8%8B%91_%E6%98%9F%E6%B8%AF%E5%90%8D%E8%8B%91.html","查看证据")</f>
        <v/>
      </c>
    </row>
    <row r="125">
      <c r="A125" t="inlineStr">
        <is>
          <t>城中村</t>
        </is>
      </c>
      <c r="B125" t="inlineStr">
        <is>
          <t>吉麻湖村</t>
        </is>
      </c>
      <c r="C125" t="inlineStr">
        <is>
          <t>1.17</t>
        </is>
      </c>
      <c r="D125" s="5" t="inlineStr">
        <is>
          <t>转运桶应在黄线划定区域内摆放整齐并保持全天关闭（作业状态除外），禁止罩外摆桶供居民投放。（6分）</t>
        </is>
      </c>
      <c r="E125" t="inlineStr">
        <is>
          <t>-2</t>
        </is>
      </c>
      <c r="F125" s="5" t="inlineStr">
        <is>
          <t>（3）监控范围外罩外摆桶并开盖供居民投放(-2)（1处问题）</t>
        </is>
      </c>
      <c r="G125">
        <f>HYPERLINK("https://yueling-buddy.github.io/xxr-inspection-album/weeks/2026-09-03/venue/v-%E7%9B%90%E7%94%B0%E8%A1%97%E9%81%93%E5%8C%97%E5%B1%B1%E9%81%93127%E5%8F%B7_%E5%90%89%E9%BA%BB%E6%B9%96%E6%9D%91.html","查看证据")</f>
        <v/>
      </c>
    </row>
    <row r="126">
      <c r="A126" t="inlineStr">
        <is>
          <t>住宅小区</t>
        </is>
      </c>
      <c r="B126" t="inlineStr">
        <is>
          <t>和亨雅园</t>
        </is>
      </c>
      <c r="C126" t="inlineStr">
        <is>
          <t>2.2</t>
        </is>
      </c>
      <c r="D126" s="5" t="inlineStr">
        <is>
          <t>设置消防设施，使用功能正常，取用方便。（2分）</t>
        </is>
      </c>
      <c r="E126" t="inlineStr">
        <is>
          <t>-2</t>
        </is>
      </c>
      <c r="F126" s="5" t="inlineStr">
        <is>
          <t>（2）消防设施不规范（设备缺失、破损严重/过期等）(-2)（1处问题）</t>
        </is>
      </c>
      <c r="G126">
        <f>HYPERLINK("https://yueling-buddy.github.io/xxr-inspection-album/weeks/2026-09-03/venue/v-%E5%B9%BF%E4%B8%9C%E7%9C%81%E6%B7%B1%E5%9C%B3%E5%B8%82%E7%9B%90%E7%94%B0%E5%8C%BA%E7%9B%90%E7%94%B0%E8%A1%97%E9%81%93%E5%92%8C%E4%BA%A8%E5%AE%B6%E5%AE%B6%E5%9B%AD_%E5%92%8C%E4%BA%A8%E9%9B%85%E5%9B%AD.html","查看证据")</f>
        <v/>
      </c>
    </row>
    <row r="127">
      <c r="A127" t="inlineStr">
        <is>
          <t>住宅小区</t>
        </is>
      </c>
      <c r="B127" t="inlineStr">
        <is>
          <t>和亨雅园</t>
        </is>
      </c>
      <c r="C127" t="inlineStr">
        <is>
          <t>2.4</t>
        </is>
      </c>
      <c r="D127" s="5" t="inlineStr">
        <is>
          <t>暂存点及其周围环境干净整洁，没有污水积聚或散落垃圾，禁止存放易燃易爆危险品，禁止违规接电、住人。（2分）</t>
        </is>
      </c>
      <c r="E127" t="inlineStr">
        <is>
          <t>-2</t>
        </is>
      </c>
      <c r="F127" s="5" t="inlineStr">
        <is>
          <t>（4）暂存点外堆放废旧家具等大件垃圾(-2)（1处问题）</t>
        </is>
      </c>
      <c r="G127">
        <f>HYPERLINK("https://yueling-buddy.github.io/xxr-inspection-album/weeks/2026-09-03/venue/v-%E5%B9%BF%E4%B8%9C%E7%9C%81%E6%B7%B1%E5%9C%B3%E5%B8%82%E7%9B%90%E7%94%B0%E5%8C%BA%E7%9B%90%E7%94%B0%E8%A1%97%E9%81%93%E5%92%8C%E4%BA%A8%E5%AE%B6%E5%AE%B6%E5%9B%AD_%E5%92%8C%E4%BA%A8%E9%9B%85%E5%9B%AD.html","查看证据")</f>
        <v/>
      </c>
    </row>
    <row r="128">
      <c r="A128" t="inlineStr">
        <is>
          <t>住宅小区</t>
        </is>
      </c>
      <c r="B128" t="inlineStr">
        <is>
          <t>汇锦名园</t>
        </is>
      </c>
      <c r="C128" t="inlineStr">
        <is>
          <t>1.14</t>
        </is>
      </c>
      <c r="D128" s="5" t="inlineStr">
        <is>
          <t>各类垃圾及时清运，投放点及其周围环境干净整洁，没有垃圾满溢、暴露垃圾、杂物堆放、严重积水或明显异味等问题。（6分）</t>
        </is>
      </c>
      <c r="E128" t="inlineStr">
        <is>
          <t>-2</t>
        </is>
      </c>
      <c r="F128" s="5" t="inlineStr">
        <is>
          <t>（3）环境卫生不整洁（投放点有暴露垃圾、杂物堆放，洗手池严重脏污，地面未硬底化，有明显污水污渍等）(-2)（1处问题）</t>
        </is>
      </c>
      <c r="G128">
        <f>HYPERLINK("https://yueling-buddy.github.io/xxr-inspection-album/weeks/2026-09-03/venue/v-%E7%BD%97%E6%B9%96%E5%8C%BA%E9%BB%84%E8%B4%9D%E8%A1%97%E9%81%93%E5%87%A4%E7%BF%94%E8%A1%9736%E5%8F%B7_%E6%B1%87%E9%94%A6%E5%90%8D%E5%9B%AD.html","查看证据")</f>
        <v/>
      </c>
    </row>
    <row r="129">
      <c r="A129" t="inlineStr">
        <is>
          <t>住宅小区</t>
        </is>
      </c>
      <c r="B129" t="inlineStr">
        <is>
          <t>汇锦名园</t>
        </is>
      </c>
      <c r="C129" t="inlineStr">
        <is>
          <t>2.1</t>
        </is>
      </c>
      <c r="D129" s="5" t="inlineStr">
        <is>
          <t>设置标识牌，外观使用“深i回收”标识，封闭围挡，地面硬底化。（2分）</t>
        </is>
      </c>
      <c r="E129" t="inlineStr">
        <is>
          <t>-2</t>
        </is>
      </c>
      <c r="F129" s="5" t="inlineStr">
        <is>
          <t>（5）其他问题说明（备注描述）(-2)（1处问题）</t>
        </is>
      </c>
      <c r="G129">
        <f>HYPERLINK("https://yueling-buddy.github.io/xxr-inspection-album/weeks/2026-09-03/venue/v-%E7%BD%97%E6%B9%96%E5%8C%BA%E9%BB%84%E8%B4%9D%E8%A1%97%E9%81%93%E5%87%A4%E7%BF%94%E8%A1%9736%E5%8F%B7_%E6%B1%87%E9%94%A6%E5%90%8D%E5%9B%AD.html","查看证据")</f>
        <v/>
      </c>
    </row>
    <row r="130">
      <c r="A130" t="inlineStr">
        <is>
          <t>住宅小区</t>
        </is>
      </c>
      <c r="B130" t="inlineStr">
        <is>
          <t>锦绣大厦</t>
        </is>
      </c>
      <c r="C130" t="inlineStr">
        <is>
          <t>1.13</t>
        </is>
      </c>
      <c r="D130" s="5" t="inlineStr">
        <is>
          <t>收集容器外壁及内桶保持干净整洁，避免陈旧性脏污，收集容器内无积水。（4分）</t>
        </is>
      </c>
      <c r="E130" t="inlineStr">
        <is>
          <t>-2</t>
        </is>
      </c>
      <c r="F130" s="5" t="inlineStr">
        <is>
          <t>（2）收集容器外壁、内桶存在明显陈旧性脏污，大片锈迹等(-2)（1处问题）</t>
        </is>
      </c>
      <c r="G130">
        <f>HYPERLINK("https://yueling-buddy.github.io/xxr-inspection-album/weeks/2026-09-03/venue/v-%E6%96%87%E9%94%A6%E4%B8%AD%E8%B7%AF1010%E5%8F%B7_%E9%94%A6%E7%BB%A3%E5%A4%A7%E5%8E%A6.html","查看证据")</f>
        <v/>
      </c>
    </row>
    <row r="131">
      <c r="A131" t="inlineStr">
        <is>
          <t>住宅小区</t>
        </is>
      </c>
      <c r="B131" t="inlineStr">
        <is>
          <t>锦绣大厦</t>
        </is>
      </c>
      <c r="C131" t="inlineStr">
        <is>
          <t>2.1</t>
        </is>
      </c>
      <c r="D131" s="5" t="inlineStr">
        <is>
          <t>设置标识牌，外观使用“深i回收”标识，封闭围挡，地面硬底化。（2分）</t>
        </is>
      </c>
      <c r="E131" t="inlineStr">
        <is>
          <t>-2</t>
        </is>
      </c>
      <c r="F131" s="5" t="inlineStr">
        <is>
          <t>（3）无标识牌，或标识牌被遮挡、模糊/脱落/未更新等(-2)（1处问题）</t>
        </is>
      </c>
      <c r="G131">
        <f>HYPERLINK("https://yueling-buddy.github.io/xxr-inspection-album/weeks/2026-09-03/venue/v-%E6%96%87%E9%94%A6%E4%B8%AD%E8%B7%AF1010%E5%8F%B7_%E9%94%A6%E7%BB%A3%E5%A4%A7%E5%8E%A6.html","查看证据")</f>
        <v/>
      </c>
    </row>
    <row r="132">
      <c r="A132" t="inlineStr">
        <is>
          <t>住宅小区</t>
        </is>
      </c>
      <c r="B132" t="inlineStr">
        <is>
          <t>锦绣大厦</t>
        </is>
      </c>
      <c r="C132" t="inlineStr">
        <is>
          <t>2.4</t>
        </is>
      </c>
      <c r="D132" s="5" t="inlineStr">
        <is>
          <t>暂存点及其周围环境干净整洁，没有污水积聚或散落垃圾，禁止存放易燃易爆危险品，禁止违规接电、住人。（2分）</t>
        </is>
      </c>
      <c r="E132" t="inlineStr">
        <is>
          <t>-2</t>
        </is>
      </c>
      <c r="F132" s="5" t="inlineStr">
        <is>
          <t>（2）暂存点及周围环境不整洁（垃圾堆放杂乱、垃圾散落、地面污水积聚等）(-2)（1处问题）</t>
        </is>
      </c>
      <c r="G132">
        <f>HYPERLINK("https://yueling-buddy.github.io/xxr-inspection-album/weeks/2026-09-03/venue/v-%E6%96%87%E9%94%A6%E4%B8%AD%E8%B7%AF1010%E5%8F%B7_%E9%94%A6%E7%BB%A3%E5%A4%A7%E5%8E%A6.html","查看证据")</f>
        <v/>
      </c>
    </row>
    <row r="133">
      <c r="A133" t="inlineStr">
        <is>
          <t>住宅小区</t>
        </is>
      </c>
      <c r="B133" t="inlineStr">
        <is>
          <t>锦绣大厦</t>
        </is>
      </c>
      <c r="C133" t="inlineStr">
        <is>
          <t>5.5</t>
        </is>
      </c>
      <c r="D133" s="5" t="inlineStr">
        <is>
          <t>回收箱及周边环境干净整洁，无垃圾满溢、暴露垃圾或杂物堆放等问题。（2分）</t>
        </is>
      </c>
      <c r="E133" t="inlineStr">
        <is>
          <t>-2</t>
        </is>
      </c>
      <c r="F133" s="5" t="inlineStr">
        <is>
          <t>周边环境脏乱(-2)（1处问题）</t>
        </is>
      </c>
      <c r="G133">
        <f>HYPERLINK("https://yueling-buddy.github.io/xxr-inspection-album/weeks/2026-09-03/venue/v-%E6%96%87%E9%94%A6%E4%B8%AD%E8%B7%AF1010%E5%8F%B7_%E9%94%A6%E7%BB%A3%E5%A4%A7%E5%8E%A6.html","查看证据")</f>
        <v/>
      </c>
    </row>
    <row r="134">
      <c r="A134" t="inlineStr">
        <is>
          <t>住宅小区</t>
        </is>
      </c>
      <c r="B134" t="inlineStr">
        <is>
          <t>海丽大厦</t>
        </is>
      </c>
      <c r="C134" t="inlineStr">
        <is>
          <t>1.1</t>
        </is>
      </c>
      <c r="D134" s="5" t="inlineStr">
        <is>
          <t>设置集中分类投放点，摆放可回收物、厨余垃圾、其他垃圾三类收集容器。（6分）</t>
        </is>
      </c>
      <c r="E134" t="inlineStr">
        <is>
          <t>-2</t>
        </is>
      </c>
      <c r="F134" s="5" t="inlineStr">
        <is>
          <t>（2）分类收集容器缺失(-2)（1处问题）</t>
        </is>
      </c>
      <c r="G134">
        <f>HYPERLINK("https://yueling-buddy.github.io/xxr-inspection-album/weeks/2026-09-03/venue/v-%E6%96%87%E9%94%A6%E4%B8%AD%E8%B7%AF1018%E5%8F%B7%E5%8C%97%E9%97%A8_%E6%B5%B7%E4%B8%BD%E5%A4%A7%E5%8E%A6.html","查看证据")</f>
        <v/>
      </c>
    </row>
    <row r="135">
      <c r="A135" t="inlineStr">
        <is>
          <t>住宅小区</t>
        </is>
      </c>
      <c r="B135" t="inlineStr">
        <is>
          <t>海丽大厦</t>
        </is>
      </c>
      <c r="C135" t="inlineStr">
        <is>
          <t>1.8</t>
        </is>
      </c>
      <c r="D135" s="5" t="inlineStr">
        <is>
          <t>设置公示牌，清晰公示管理责任人和电话、专项垃圾暂存点和废旧织物回收箱位置、厨余垃圾投放时段、各类垃圾收运处理企业等信息。（4分）</t>
        </is>
      </c>
      <c r="E135" t="inlineStr">
        <is>
          <t>-2</t>
        </is>
      </c>
      <c r="F135" s="5" t="inlineStr">
        <is>
          <t>（3）公示牌设置不规范（公示牌脱落、内容缺失、错误或模糊等）(-2)（1处问题）</t>
        </is>
      </c>
      <c r="G135">
        <f>HYPERLINK("https://yueling-buddy.github.io/xxr-inspection-album/weeks/2026-09-03/venue/v-%E6%96%87%E9%94%A6%E4%B8%AD%E8%B7%AF1018%E5%8F%B7%E5%8C%97%E9%97%A8_%E6%B5%B7%E4%B8%BD%E5%A4%A7%E5%8E%A6.html","查看证据")</f>
        <v/>
      </c>
    </row>
    <row r="136">
      <c r="A136" t="inlineStr">
        <is>
          <t>住宅小区</t>
        </is>
      </c>
      <c r="B136" t="inlineStr">
        <is>
          <t>海丽大厦</t>
        </is>
      </c>
      <c r="C136" t="inlineStr">
        <is>
          <t>1.9</t>
        </is>
      </c>
      <c r="D136" s="5" t="inlineStr">
        <is>
          <t>各设施齐全完好，摆放整齐有序，使用功能正常，没有严重破损、陈旧问题，不得拆除投放口盖板支撑杆。（6分）</t>
        </is>
      </c>
      <c r="E136" t="inlineStr">
        <is>
          <t>-2</t>
        </is>
      </c>
      <c r="F136" s="5" t="inlineStr">
        <is>
          <t>（3）内桶错放导致桶盖无法正常打开，未放置垃圾内桶等影响正常使用(-2)（1处问题）</t>
        </is>
      </c>
      <c r="G136">
        <f>HYPERLINK("https://yueling-buddy.github.io/xxr-inspection-album/weeks/2026-09-03/venue/v-%E6%96%87%E9%94%A6%E4%B8%AD%E8%B7%AF1018%E5%8F%B7%E5%8C%97%E9%97%A8_%E6%B5%B7%E4%B8%BD%E5%A4%A7%E5%8E%A6.html","查看证据")</f>
        <v/>
      </c>
    </row>
    <row r="137">
      <c r="A137" t="inlineStr">
        <is>
          <t>住宅小区</t>
        </is>
      </c>
      <c r="B137" t="inlineStr">
        <is>
          <t>海丽大厦</t>
        </is>
      </c>
      <c r="C137" t="inlineStr">
        <is>
          <t>1.13</t>
        </is>
      </c>
      <c r="D137" s="5" t="inlineStr">
        <is>
          <t>收集容器外壁及内桶保持干净整洁，避免陈旧性脏污，收集容器内无积水。（4分）</t>
        </is>
      </c>
      <c r="E137" t="inlineStr">
        <is>
          <t>-2</t>
        </is>
      </c>
      <c r="F137" s="5" t="inlineStr">
        <is>
          <t>（2）收集容器外壁、内桶存在明显陈旧性脏污，大片锈迹等(-2)（1处问题）</t>
        </is>
      </c>
      <c r="G137">
        <f>HYPERLINK("https://yueling-buddy.github.io/xxr-inspection-album/weeks/2026-09-03/venue/v-%E6%96%87%E9%94%A6%E4%B8%AD%E8%B7%AF1018%E5%8F%B7%E5%8C%97%E9%97%A8_%E6%B5%B7%E4%B8%BD%E5%A4%A7%E5%8E%A6.html","查看证据")</f>
        <v/>
      </c>
    </row>
    <row r="138">
      <c r="A138" t="inlineStr">
        <is>
          <t>住宅小区</t>
        </is>
      </c>
      <c r="B138" t="inlineStr">
        <is>
          <t>海丽大厦</t>
        </is>
      </c>
      <c r="C138" t="inlineStr">
        <is>
          <t>1.14</t>
        </is>
      </c>
      <c r="D138" s="5" t="inlineStr">
        <is>
          <t>各类垃圾及时清运，投放点及其周围环境干净整洁，没有垃圾满溢、暴露垃圾、杂物堆放、严重积水或明显异味等问题。（6分）</t>
        </is>
      </c>
      <c r="E138" t="inlineStr">
        <is>
          <t>-4</t>
        </is>
      </c>
      <c r="F138" s="5" t="inlineStr">
        <is>
          <t>（2）垃圾收集容器满溢、未及时清运(-2)（1处问题）； （3）环境卫生不整洁（投放点有暴露垃圾、杂物堆放，洗手池严重脏污，地面未硬底化，有明显污水污渍等）(-2)（1处问题）</t>
        </is>
      </c>
      <c r="G138">
        <f>HYPERLINK("https://yueling-buddy.github.io/xxr-inspection-album/weeks/2026-09-03/venue/v-%E6%96%87%E9%94%A6%E4%B8%AD%E8%B7%AF1018%E5%8F%B7%E5%8C%97%E9%97%A8_%E6%B5%B7%E4%B8%BD%E5%A4%A7%E5%8E%A6.html","查看证据")</f>
        <v/>
      </c>
    </row>
    <row r="139">
      <c r="A139" t="inlineStr">
        <is>
          <t>住宅小区</t>
        </is>
      </c>
      <c r="B139" t="inlineStr">
        <is>
          <t>海丽大厦</t>
        </is>
      </c>
      <c r="C139" t="inlineStr">
        <is>
          <t>1.17</t>
        </is>
      </c>
      <c r="D139" s="5" t="inlineStr">
        <is>
          <t>转运桶应在黄线划定区域内摆放整齐并保持全天关闭（作业状态除外），禁止罩外摆桶供居民投放。（6分）</t>
        </is>
      </c>
      <c r="E139" t="inlineStr">
        <is>
          <t>-2</t>
        </is>
      </c>
      <c r="F139" s="5" t="inlineStr">
        <is>
          <t>（3）监控范围外罩外摆桶并开盖供居民投放(-2)（1处问题）</t>
        </is>
      </c>
      <c r="G139">
        <f>HYPERLINK("https://yueling-buddy.github.io/xxr-inspection-album/weeks/2026-09-03/venue/v-%E6%96%87%E9%94%A6%E4%B8%AD%E8%B7%AF1018%E5%8F%B7%E5%8C%97%E9%97%A8_%E6%B5%B7%E4%B8%BD%E5%A4%A7%E5%8E%A6.html","查看证据")</f>
        <v/>
      </c>
    </row>
    <row r="140">
      <c r="A140" t="inlineStr">
        <is>
          <t>住宅小区</t>
        </is>
      </c>
      <c r="B140" t="inlineStr">
        <is>
          <t>轻工大厦</t>
        </is>
      </c>
      <c r="C140" t="inlineStr">
        <is>
          <t>1.13</t>
        </is>
      </c>
      <c r="D140" s="5" t="inlineStr">
        <is>
          <t>收集容器外壁及内桶保持干净整洁，避免陈旧性脏污，收集容器内无积水。（4分）</t>
        </is>
      </c>
      <c r="E140" t="inlineStr">
        <is>
          <t>-2</t>
        </is>
      </c>
      <c r="F140" s="5" t="inlineStr">
        <is>
          <t>（2）收集容器外壁、内桶存在明显陈旧性脏污，大片锈迹等(-2)（1处问题）</t>
        </is>
      </c>
      <c r="G140">
        <f>HYPERLINK("https://yueling-buddy.github.io/xxr-inspection-album/weeks/2026-09-03/venue/v-%E6%B7%B1%E5%9C%B3%E5%B8%82%E7%88%B1%E5%9B%BD%E8%B7%AF1002%E5%8F%B7_%E8%BD%BB%E5%B7%A5%E5%A4%A7%E5%8E%A6.html","查看证据")</f>
        <v/>
      </c>
    </row>
    <row r="141">
      <c r="A141" t="inlineStr">
        <is>
          <t>住宅小区</t>
        </is>
      </c>
      <c r="B141" t="inlineStr">
        <is>
          <t>轻工大厦</t>
        </is>
      </c>
      <c r="C141" t="inlineStr">
        <is>
          <t>2.1</t>
        </is>
      </c>
      <c r="D141" s="5" t="inlineStr">
        <is>
          <t>设置标识牌，外观使用“深i回收”标识，封闭围挡，地面硬底化。（2分）</t>
        </is>
      </c>
      <c r="E141" t="inlineStr">
        <is>
          <t>-2</t>
        </is>
      </c>
      <c r="F141" s="5" t="inlineStr">
        <is>
          <t>（2）围挡设置不规范（未设置围挡，围挡封闭不全，或使用移动式栅栏、水马等围合）(-2)（1处问题）</t>
        </is>
      </c>
      <c r="G141">
        <f>HYPERLINK("https://yueling-buddy.github.io/xxr-inspection-album/weeks/2026-09-03/venue/v-%E6%B7%B1%E5%9C%B3%E5%B8%82%E7%88%B1%E5%9B%BD%E8%B7%AF1002%E5%8F%B7_%E8%BD%BB%E5%B7%A5%E5%A4%A7%E5%8E%A6.html","查看证据")</f>
        <v/>
      </c>
    </row>
    <row r="142">
      <c r="A142" t="inlineStr">
        <is>
          <t>住宅小区</t>
        </is>
      </c>
      <c r="B142" t="inlineStr">
        <is>
          <t>轻工大厦</t>
        </is>
      </c>
      <c r="C142" t="inlineStr">
        <is>
          <t>3.1</t>
        </is>
      </c>
      <c r="D142" s="5" t="inlineStr">
        <is>
          <t>各类垃圾及时清运。（2分）</t>
        </is>
      </c>
      <c r="E142" t="inlineStr">
        <is>
          <t>-2</t>
        </is>
      </c>
      <c r="F142" s="5" t="inlineStr">
        <is>
          <t>（2）暂存点内垃圾清运不及时(-2)（1处问题）</t>
        </is>
      </c>
      <c r="G142">
        <f>HYPERLINK("https://yueling-buddy.github.io/xxr-inspection-album/weeks/2026-09-03/venue/v-%E6%B7%B1%E5%9C%B3%E5%B8%82%E7%88%B1%E5%9B%BD%E8%B7%AF1002%E5%8F%B7_%E8%BD%BB%E5%B7%A5%E5%A4%A7%E5%8E%A6.html","查看证据")</f>
        <v/>
      </c>
    </row>
    <row r="143">
      <c r="A143" t="inlineStr">
        <is>
          <t>住宅小区</t>
        </is>
      </c>
      <c r="B143" t="inlineStr">
        <is>
          <t>轻工大厦</t>
        </is>
      </c>
      <c r="C143" t="inlineStr">
        <is>
          <t>5.2</t>
        </is>
      </c>
      <c r="D143" s="5" t="inlineStr">
        <is>
          <t>箱体外观应使用“深i回收”标识，并公示备案编号、监管电话、回收电话等信息，回收电话真实有效，提供预约回收服务。（1分）</t>
        </is>
      </c>
      <c r="E143" t="inlineStr">
        <is>
          <t>-1</t>
        </is>
      </c>
      <c r="F143" s="5" t="inlineStr">
        <is>
          <t>（2）未使用(-1)（1处问题）</t>
        </is>
      </c>
      <c r="G143">
        <f>HYPERLINK("https://yueling-buddy.github.io/xxr-inspection-album/weeks/2026-09-03/venue/v-%E6%B7%B1%E5%9C%B3%E5%B8%82%E7%88%B1%E5%9B%BD%E8%B7%AF1002%E5%8F%B7_%E8%BD%BB%E5%B7%A5%E5%A4%A7%E5%8E%A6.html","查看证据")</f>
        <v/>
      </c>
    </row>
    <row r="144">
      <c r="A144" t="inlineStr">
        <is>
          <t>产业园区</t>
        </is>
      </c>
      <c r="B144" t="inlineStr">
        <is>
          <t>北山工业区</t>
        </is>
      </c>
      <c r="C144" t="inlineStr">
        <is>
          <t>2.2</t>
        </is>
      </c>
      <c r="D144" s="5" t="inlineStr">
        <is>
          <t>收集容器、暂存点及其周围环境干净整洁，无垃圾满溢、暴露垃圾，无杂物堆放。</t>
        </is>
      </c>
      <c r="E144" t="inlineStr">
        <is>
          <t>-6</t>
        </is>
      </c>
      <c r="F144" s="5" t="inlineStr">
        <is>
          <t>（3）环境卫生不整洁（投放点有散落垃圾、杂物堆放，地面有明显污水污渍等）(-3)（2处问题）</t>
        </is>
      </c>
      <c r="G144">
        <f>HYPERLINK("https://yueling-buddy.github.io/xxr-inspection-album/weeks/2026-09-03/venue/v-%E6%B7%B1%E5%9C%B3%E5%B8%82%E7%9B%90%E7%94%B0%E5%8C%BA%E5%8C%97%E5%B1%B1%E5%A4%A7%E9%81%93%E5%B7%A5%E4%B8%9A%E5%8C%BA146%E5%8F%B7_%E5%8C%97%E5%B1%B1%E5%B7%A5%E4%B8%9A%E5%8C%BA.html","查看证据")</f>
        <v/>
      </c>
    </row>
    <row r="145">
      <c r="A145" t="inlineStr">
        <is>
          <t>住宅小区</t>
        </is>
      </c>
      <c r="B145" t="inlineStr">
        <is>
          <t>华深大院</t>
        </is>
      </c>
      <c r="C145" t="inlineStr">
        <is>
          <t>1.8</t>
        </is>
      </c>
      <c r="D145" s="5" t="inlineStr">
        <is>
          <t>设置公示牌，清晰公示管理责任人和电话、专项垃圾暂存点和废旧织物回收箱位置、厨余垃圾投放时段、各类垃圾收运处理企业等信息。（4分）</t>
        </is>
      </c>
      <c r="E145" t="inlineStr">
        <is>
          <t>-2</t>
        </is>
      </c>
      <c r="F145" s="5" t="inlineStr">
        <is>
          <t>（2）责任公示牌缺失(-2)（1处问题）</t>
        </is>
      </c>
      <c r="G145">
        <f>HYPERLINK("https://yueling-buddy.github.io/xxr-inspection-album/weeks/2026-09-03/venue/v-%E6%B7%B1%E5%9C%B3%E5%B8%82%E7%88%B1%E5%9B%BD%E8%B7%AF1040%E5%8F%B7%E5%8D%8E%E6%B7%B1%E5%A4%A7%E9%99%A2_%E5%8D%8E%E6%B7%B1%E5%A4%A7%E9%99%A2.html","查看证据")</f>
        <v/>
      </c>
    </row>
    <row r="146">
      <c r="A146" t="inlineStr">
        <is>
          <t>住宅小区</t>
        </is>
      </c>
      <c r="B146" t="inlineStr">
        <is>
          <t>华深大院</t>
        </is>
      </c>
      <c r="C146" t="inlineStr">
        <is>
          <t>1.13</t>
        </is>
      </c>
      <c r="D146" s="5" t="inlineStr">
        <is>
          <t>收集容器外壁及内桶保持干净整洁，避免陈旧性脏污，收集容器内无积水。（4分）</t>
        </is>
      </c>
      <c r="E146" t="inlineStr">
        <is>
          <t>-2</t>
        </is>
      </c>
      <c r="F146" s="5" t="inlineStr">
        <is>
          <t>（2）收集容器外壁、内桶存在明显陈旧性脏污，大片锈迹等(-2)（1处问题）</t>
        </is>
      </c>
      <c r="G146">
        <f>HYPERLINK("https://yueling-buddy.github.io/xxr-inspection-album/weeks/2026-09-03/venue/v-%E6%B7%B1%E5%9C%B3%E5%B8%82%E7%88%B1%E5%9B%BD%E8%B7%AF1040%E5%8F%B7%E5%8D%8E%E6%B7%B1%E5%A4%A7%E9%99%A2_%E5%8D%8E%E6%B7%B1%E5%A4%A7%E9%99%A2.html","查看证据")</f>
        <v/>
      </c>
    </row>
    <row r="147">
      <c r="A147" t="inlineStr">
        <is>
          <t>住宅小区</t>
        </is>
      </c>
      <c r="B147" t="inlineStr">
        <is>
          <t>华深大院</t>
        </is>
      </c>
      <c r="C147" t="inlineStr">
        <is>
          <t>1.14</t>
        </is>
      </c>
      <c r="D147" s="5" t="inlineStr">
        <is>
          <t>各类垃圾及时清运，投放点及其周围环境干净整洁，没有垃圾满溢、暴露垃圾、杂物堆放、严重积水或明显异味等问题。（6分）</t>
        </is>
      </c>
      <c r="E147" t="inlineStr">
        <is>
          <t>-2</t>
        </is>
      </c>
      <c r="F147" s="5" t="inlineStr">
        <is>
          <t>（3）环境卫生不整洁（投放点有暴露垃圾、杂物堆放，洗手池严重脏污，地面未硬底化，有明显污水污渍等）(-2)（1处问题）</t>
        </is>
      </c>
      <c r="G147">
        <f>HYPERLINK("https://yueling-buddy.github.io/xxr-inspection-album/weeks/2026-09-03/venue/v-%E6%B7%B1%E5%9C%B3%E5%B8%82%E7%88%B1%E5%9B%BD%E8%B7%AF1040%E5%8F%B7%E5%8D%8E%E6%B7%B1%E5%A4%A7%E9%99%A2_%E5%8D%8E%E6%B7%B1%E5%A4%A7%E9%99%A2.html","查看证据")</f>
        <v/>
      </c>
    </row>
    <row r="148">
      <c r="A148" t="inlineStr">
        <is>
          <t>住宅小区</t>
        </is>
      </c>
      <c r="B148" t="inlineStr">
        <is>
          <t>华深大院</t>
        </is>
      </c>
      <c r="C148" t="inlineStr">
        <is>
          <t>1.16</t>
        </is>
      </c>
      <c r="D148" s="5" t="inlineStr">
        <is>
          <t>禁止通过捆绑、卡挡或上锁等方式封闭或遮挡投放口。（4分）</t>
        </is>
      </c>
      <c r="E148" t="inlineStr">
        <is>
          <t>-2</t>
        </is>
      </c>
      <c r="F148" s="5" t="inlineStr">
        <is>
          <t>（2）投放口被封闭或遮挡(-2)（1处问题）</t>
        </is>
      </c>
      <c r="G148">
        <f>HYPERLINK("https://yueling-buddy.github.io/xxr-inspection-album/weeks/2026-09-03/venue/v-%E6%B7%B1%E5%9C%B3%E5%B8%82%E7%88%B1%E5%9B%BD%E8%B7%AF1040%E5%8F%B7%E5%8D%8E%E6%B7%B1%E5%A4%A7%E9%99%A2_%E5%8D%8E%E6%B7%B1%E5%A4%A7%E9%99%A2.html","查看证据")</f>
        <v/>
      </c>
    </row>
    <row r="149">
      <c r="A149" t="inlineStr">
        <is>
          <t>住宅小区</t>
        </is>
      </c>
      <c r="B149" t="inlineStr">
        <is>
          <t>华深大院</t>
        </is>
      </c>
      <c r="C149" t="inlineStr">
        <is>
          <t>1.17</t>
        </is>
      </c>
      <c r="D149" s="5" t="inlineStr">
        <is>
          <t>转运桶应在黄线划定区域内摆放整齐并保持全天关闭（作业状态除外），禁止罩外摆桶供居民投放。（6分）</t>
        </is>
      </c>
      <c r="E149" t="inlineStr">
        <is>
          <t>-2</t>
        </is>
      </c>
      <c r="F149" s="5" t="inlineStr">
        <is>
          <t>（3）监控范围外罩外摆桶并开盖供居民投放(-2)（1处问题）</t>
        </is>
      </c>
      <c r="G149">
        <f>HYPERLINK("https://yueling-buddy.github.io/xxr-inspection-album/weeks/2026-09-03/venue/v-%E6%B7%B1%E5%9C%B3%E5%B8%82%E7%88%B1%E5%9B%BD%E8%B7%AF1040%E5%8F%B7%E5%8D%8E%E6%B7%B1%E5%A4%A7%E9%99%A2_%E5%8D%8E%E6%B7%B1%E5%A4%A7%E9%99%A2.html","查看证据")</f>
        <v/>
      </c>
    </row>
    <row r="150">
      <c r="A150" t="inlineStr">
        <is>
          <t>住宅小区</t>
        </is>
      </c>
      <c r="B150" t="inlineStr">
        <is>
          <t>华深大院</t>
        </is>
      </c>
      <c r="C150" t="inlineStr">
        <is>
          <t>2.1</t>
        </is>
      </c>
      <c r="D150" s="5" t="inlineStr">
        <is>
          <t>设置标识牌，外观使用“深i回收”标识，封闭围挡，地面硬底化。（2分）</t>
        </is>
      </c>
      <c r="E150" t="inlineStr">
        <is>
          <t>-2</t>
        </is>
      </c>
      <c r="F150" s="5" t="inlineStr">
        <is>
          <t>（5）其他问题说明（备注描述）(-2)（1处问题）</t>
        </is>
      </c>
      <c r="G150">
        <f>HYPERLINK("https://yueling-buddy.github.io/xxr-inspection-album/weeks/2026-09-03/venue/v-%E6%B7%B1%E5%9C%B3%E5%B8%82%E7%88%B1%E5%9B%BD%E8%B7%AF1040%E5%8F%B7%E5%8D%8E%E6%B7%B1%E5%A4%A7%E9%99%A2_%E5%8D%8E%E6%B7%B1%E5%A4%A7%E9%99%A2.html","查看证据")</f>
        <v/>
      </c>
    </row>
    <row r="151">
      <c r="A151" t="inlineStr">
        <is>
          <t>住宅小区</t>
        </is>
      </c>
      <c r="B151" t="inlineStr">
        <is>
          <t>华深大院</t>
        </is>
      </c>
      <c r="C151" t="inlineStr">
        <is>
          <t>4.3</t>
        </is>
      </c>
      <c r="D151" s="5" t="inlineStr">
        <is>
          <t>设备齐全完好，摆放整齐有序，功能正常，外观没有严重破损，没有用电隐患。（2分）</t>
        </is>
      </c>
      <c r="E151" t="inlineStr">
        <is>
          <t>-2</t>
        </is>
      </c>
      <c r="F151" s="5" t="inlineStr">
        <is>
          <t>（3）其他问题说明（备注描述）(-2)（1处问题）</t>
        </is>
      </c>
      <c r="G151">
        <f>HYPERLINK("https://yueling-buddy.github.io/xxr-inspection-album/weeks/2026-09-03/venue/v-%E6%B7%B1%E5%9C%B3%E5%B8%82%E7%88%B1%E5%9B%BD%E8%B7%AF1040%E5%8F%B7%E5%8D%8E%E6%B7%B1%E5%A4%A7%E9%99%A2_%E5%8D%8E%E6%B7%B1%E5%A4%A7%E9%99%A2.html","查看证据")</f>
        <v/>
      </c>
    </row>
    <row r="152">
      <c r="A152" t="inlineStr">
        <is>
          <t>住宅小区</t>
        </is>
      </c>
      <c r="B152" t="inlineStr">
        <is>
          <t>华深大院</t>
        </is>
      </c>
      <c r="C152" t="inlineStr">
        <is>
          <t>5.2</t>
        </is>
      </c>
      <c r="D152" s="5" t="inlineStr">
        <is>
          <t>箱体外观应使用“深i回收”标识，并公示备案编号、监管电话、回收电话等信息，回收电话真实有效，提供预约回收服务。（1分）</t>
        </is>
      </c>
      <c r="E152" t="inlineStr">
        <is>
          <t>-1</t>
        </is>
      </c>
      <c r="F152" s="5" t="inlineStr">
        <is>
          <t>（2）未使用(-1)（1处问题）</t>
        </is>
      </c>
      <c r="G152">
        <f>HYPERLINK("https://yueling-buddy.github.io/xxr-inspection-album/weeks/2026-09-03/venue/v-%E6%B7%B1%E5%9C%B3%E5%B8%82%E7%88%B1%E5%9B%BD%E8%B7%AF1040%E5%8F%B7%E5%8D%8E%E6%B7%B1%E5%A4%A7%E9%99%A2_%E5%8D%8E%E6%B7%B1%E5%A4%A7%E9%99%A2.html","查看证据")</f>
        <v/>
      </c>
    </row>
    <row r="153">
      <c r="A153" t="inlineStr">
        <is>
          <t>住宅小区</t>
        </is>
      </c>
      <c r="B153" t="inlineStr">
        <is>
          <t>华丽西村</t>
        </is>
      </c>
      <c r="C153" t="inlineStr">
        <is>
          <t>1.11</t>
        </is>
      </c>
      <c r="D153" s="5" t="inlineStr">
        <is>
          <t>禁止车辆挡住投放点过道，禁止在投放口前堆放大件杂物。（2分）</t>
        </is>
      </c>
      <c r="E153" t="inlineStr">
        <is>
          <t>-1</t>
        </is>
      </c>
      <c r="F153" s="5" t="inlineStr">
        <is>
          <t>（2）车辆挡住投放点过道、投放口前堆放大件杂物，阻碍居民投放(-1)（1处问题）</t>
        </is>
      </c>
      <c r="G153">
        <f>HYPERLINK("https://yueling-buddy.github.io/xxr-inspection-album/weeks/2026-09-03/venue/v-%E5%8D%8E%E4%B8%BD%E8%B7%AF1069%E5%8F%B7_%E5%8D%8E%E4%B8%BD%E8%A5%BF%E6%9D%91.html","查看证据")</f>
        <v/>
      </c>
    </row>
    <row r="154">
      <c r="A154" t="inlineStr">
        <is>
          <t>住宅小区</t>
        </is>
      </c>
      <c r="B154" t="inlineStr">
        <is>
          <t>华丽西村</t>
        </is>
      </c>
      <c r="C154" t="inlineStr">
        <is>
          <t>1.17</t>
        </is>
      </c>
      <c r="D154" s="5" t="inlineStr">
        <is>
          <t>转运桶应在黄线划定区域内摆放整齐并保持全天关闭（作业状态除外），禁止罩外摆桶供居民投放。（6分）</t>
        </is>
      </c>
      <c r="E154" t="inlineStr">
        <is>
          <t>-2</t>
        </is>
      </c>
      <c r="F154" s="5" t="inlineStr">
        <is>
          <t>（3）监控范围外罩外摆桶并开盖供居民投放(-2)（1处问题）</t>
        </is>
      </c>
      <c r="G154">
        <f>HYPERLINK("https://yueling-buddy.github.io/xxr-inspection-album/weeks/2026-09-03/venue/v-%E5%8D%8E%E4%B8%BD%E8%B7%AF1069%E5%8F%B7_%E5%8D%8E%E4%B8%BD%E8%A5%BF%E6%9D%91.html","查看证据")</f>
        <v/>
      </c>
    </row>
    <row r="155">
      <c r="A155" t="inlineStr">
        <is>
          <t>住宅小区</t>
        </is>
      </c>
      <c r="B155" t="inlineStr">
        <is>
          <t>华丽西村</t>
        </is>
      </c>
      <c r="C155" t="inlineStr">
        <is>
          <t>2.1</t>
        </is>
      </c>
      <c r="D155" s="5" t="inlineStr">
        <is>
          <t>设置标识牌，外观使用“深i回收”标识，封闭围挡，地面硬底化。（2分）</t>
        </is>
      </c>
      <c r="E155" t="inlineStr">
        <is>
          <t>-2</t>
        </is>
      </c>
      <c r="F155" s="5" t="inlineStr">
        <is>
          <t>（5）其他问题说明（备注描述）(-2)（1处问题）</t>
        </is>
      </c>
      <c r="G155">
        <f>HYPERLINK("https://yueling-buddy.github.io/xxr-inspection-album/weeks/2026-09-03/venue/v-%E5%8D%8E%E4%B8%BD%E8%B7%AF1069%E5%8F%B7_%E5%8D%8E%E4%B8%BD%E8%A5%BF%E6%9D%91.html","查看证据")</f>
        <v/>
      </c>
    </row>
    <row r="156">
      <c r="A156" t="inlineStr">
        <is>
          <t>住宅小区</t>
        </is>
      </c>
      <c r="B156" t="inlineStr">
        <is>
          <t>华丽西村</t>
        </is>
      </c>
      <c r="C156" t="inlineStr">
        <is>
          <t>2.2</t>
        </is>
      </c>
      <c r="D156" s="5" t="inlineStr">
        <is>
          <t>设置消防设施，使用功能正常，取用方便。（2分）</t>
        </is>
      </c>
      <c r="E156" t="inlineStr">
        <is>
          <t>-2</t>
        </is>
      </c>
      <c r="F156" s="5" t="inlineStr">
        <is>
          <t>（2）消防设施不规范（设备缺失、破损严重/过期等）(-2)（1处问题）</t>
        </is>
      </c>
      <c r="G156">
        <f>HYPERLINK("https://yueling-buddy.github.io/xxr-inspection-album/weeks/2026-09-03/venue/v-%E5%8D%8E%E4%B8%BD%E8%B7%AF1069%E5%8F%B7_%E5%8D%8E%E4%B8%BD%E8%A5%BF%E6%9D%91.html","查看证据")</f>
        <v/>
      </c>
    </row>
    <row r="157">
      <c r="A157" t="inlineStr">
        <is>
          <t>住宅小区</t>
        </is>
      </c>
      <c r="B157" t="inlineStr">
        <is>
          <t>华丽西村</t>
        </is>
      </c>
      <c r="C157" t="inlineStr">
        <is>
          <t>2.4</t>
        </is>
      </c>
      <c r="D157" s="5" t="inlineStr">
        <is>
          <t>暂存点及其周围环境干净整洁，没有污水积聚或散落垃圾，禁止存放易燃易爆危险品，禁止违规接电、住人。（2分）</t>
        </is>
      </c>
      <c r="E157" t="inlineStr">
        <is>
          <t>-2</t>
        </is>
      </c>
      <c r="F157" s="5" t="inlineStr">
        <is>
          <t>（2）暂存点及周围环境不整洁（垃圾堆放杂乱、垃圾散落、地面污水积聚等）(-2)（1处问题）</t>
        </is>
      </c>
      <c r="G157">
        <f>HYPERLINK("https://yueling-buddy.github.io/xxr-inspection-album/weeks/2026-09-03/venue/v-%E5%8D%8E%E4%B8%BD%E8%B7%AF1069%E5%8F%B7_%E5%8D%8E%E4%B8%BD%E8%A5%BF%E6%9D%91.html","查看证据")</f>
        <v/>
      </c>
    </row>
    <row r="158">
      <c r="A158" t="inlineStr">
        <is>
          <t>城中村</t>
        </is>
      </c>
      <c r="B158" t="inlineStr">
        <is>
          <t>25小区片区</t>
        </is>
      </c>
      <c r="C158" t="inlineStr">
        <is>
          <t>1.4</t>
        </is>
      </c>
      <c r="D158" s="5" t="inlineStr">
        <is>
          <t>至少设置一处厨余垃圾误时投放点，张贴误时投放点标识，并保持24小时开放。（2分）</t>
        </is>
      </c>
      <c r="E158" t="inlineStr">
        <is>
          <t>-2</t>
        </is>
      </c>
      <c r="F158" s="5" t="inlineStr">
        <is>
          <t>否(-2)（1处问题）</t>
        </is>
      </c>
      <c r="G158">
        <f>HYPERLINK("https://yueling-buddy.github.io/xxr-inspection-album/weeks/2026-09-03/venue/v-%E5%B9%BF%E4%B8%9C%E7%9C%81%E6%B7%B1%E5%9C%B3%E5%B8%82%E5%85%89%E6%98%8E%E5%8C%BA%E5%85%AC%E6%98%8E%E8%A1%97%E9%81%93%E7%BA%A2%E8%8A%B1%E4%B8%AD%E8%B7%AF_25%E5%B0%8F%E5%8C%BA%E7%89%87%E5%8C%BA.html","查看证据")</f>
        <v/>
      </c>
    </row>
    <row r="159">
      <c r="A159" t="inlineStr">
        <is>
          <t>城中村</t>
        </is>
      </c>
      <c r="B159" t="inlineStr">
        <is>
          <t>25小区片区</t>
        </is>
      </c>
      <c r="C159" t="inlineStr">
        <is>
          <t>1.5</t>
        </is>
      </c>
      <c r="D159" s="5" t="inlineStr">
        <is>
          <t>分类标志完整、正确、清晰，各类垃圾收集容器外罩和内桶的颜色正确。（4分）</t>
        </is>
      </c>
      <c r="E159" t="inlineStr">
        <is>
          <t>-4</t>
        </is>
      </c>
      <c r="F159" s="5" t="inlineStr">
        <is>
          <t>（2）分类桶标志缺失或不规范（标志未更新、标志错误、标志模糊等）(-2)（1处问题）； （3）外罩和内桶颜色不正确;（不强制要求垃圾桶套袋，若套袋的，收集容器应按垃圾类别对应颜色套袋）(-2)（1处问题）</t>
        </is>
      </c>
      <c r="G159">
        <f>HYPERLINK("https://yueling-buddy.github.io/xxr-inspection-album/weeks/2026-09-03/venue/v-%E5%B9%BF%E4%B8%9C%E7%9C%81%E6%B7%B1%E5%9C%B3%E5%B8%82%E5%85%89%E6%98%8E%E5%8C%BA%E5%85%AC%E6%98%8E%E8%A1%97%E9%81%93%E7%BA%A2%E8%8A%B1%E4%B8%AD%E8%B7%AF_25%E5%B0%8F%E5%8C%BA%E7%89%87%E5%8C%BA.html","查看证据")</f>
        <v/>
      </c>
    </row>
    <row r="160">
      <c r="A160" t="inlineStr">
        <is>
          <t>城中村</t>
        </is>
      </c>
      <c r="B160" t="inlineStr">
        <is>
          <t>25小区片区</t>
        </is>
      </c>
      <c r="C160" t="inlineStr">
        <is>
          <t>1.8</t>
        </is>
      </c>
      <c r="D160" s="5" t="inlineStr">
        <is>
          <t>设置公示牌，清晰公示管理责任人和电话、专项垃圾暂存点和废旧织物回收箱位置、厨余垃圾投放时段、各类垃圾收运处理企业等信息。（4分）</t>
        </is>
      </c>
      <c r="E160" t="inlineStr">
        <is>
          <t>-2</t>
        </is>
      </c>
      <c r="F160" s="5" t="inlineStr">
        <is>
          <t>（3）公示牌设置不规范（公示牌脱落、内容缺失、错误或模糊等）(-2)（1处问题）</t>
        </is>
      </c>
      <c r="G160">
        <f>HYPERLINK("https://yueling-buddy.github.io/xxr-inspection-album/weeks/2026-09-03/venue/v-%E5%B9%BF%E4%B8%9C%E7%9C%81%E6%B7%B1%E5%9C%B3%E5%B8%82%E5%85%89%E6%98%8E%E5%8C%BA%E5%85%AC%E6%98%8E%E8%A1%97%E9%81%93%E7%BA%A2%E8%8A%B1%E4%B8%AD%E8%B7%AF_25%E5%B0%8F%E5%8C%BA%E7%89%87%E5%8C%BA.html","查看证据")</f>
        <v/>
      </c>
    </row>
    <row r="161">
      <c r="A161" t="inlineStr">
        <is>
          <t>城中村</t>
        </is>
      </c>
      <c r="B161" t="inlineStr">
        <is>
          <t>25小区片区</t>
        </is>
      </c>
      <c r="C161" t="inlineStr">
        <is>
          <t>1.9</t>
        </is>
      </c>
      <c r="D161" s="5" t="inlineStr">
        <is>
          <t>各设施齐全完好，摆放整齐有序，使用功能正常，没有严重破损、陈旧问题，不得拆除投放口盖板支撑杆。（6分）</t>
        </is>
      </c>
      <c r="E161" t="inlineStr">
        <is>
          <t>-2</t>
        </is>
      </c>
      <c r="F161" s="5" t="inlineStr">
        <is>
          <t>（2）分类设施损坏或摆放不整齐(-2)（1处问题）</t>
        </is>
      </c>
      <c r="G161">
        <f>HYPERLINK("https://yueling-buddy.github.io/xxr-inspection-album/weeks/2026-09-03/venue/v-%E5%B9%BF%E4%B8%9C%E7%9C%81%E6%B7%B1%E5%9C%B3%E5%B8%82%E5%85%89%E6%98%8E%E5%8C%BA%E5%85%AC%E6%98%8E%E8%A1%97%E9%81%93%E7%BA%A2%E8%8A%B1%E4%B8%AD%E8%B7%AF_25%E5%B0%8F%E5%8C%BA%E7%89%87%E5%8C%BA.html","查看证据")</f>
        <v/>
      </c>
    </row>
    <row r="162">
      <c r="A162" t="inlineStr">
        <is>
          <t>城中村</t>
        </is>
      </c>
      <c r="B162" t="inlineStr">
        <is>
          <t>25小区片区</t>
        </is>
      </c>
      <c r="C162" t="inlineStr">
        <is>
          <t>1.13</t>
        </is>
      </c>
      <c r="D162" s="5" t="inlineStr">
        <is>
          <t>收集容器外壁及内桶保持干净整洁，避免陈旧性脏污，收集容器内无积水。（6分）</t>
        </is>
      </c>
      <c r="E162" t="inlineStr">
        <is>
          <t>-3</t>
        </is>
      </c>
      <c r="F162" s="5" t="inlineStr">
        <is>
          <t>（2）收集容器外壁、内桶存在明显陈旧性脏污，大片锈迹等(-3)（1处问题）</t>
        </is>
      </c>
      <c r="G162">
        <f>HYPERLINK("https://yueling-buddy.github.io/xxr-inspection-album/weeks/2026-09-03/venue/v-%E5%B9%BF%E4%B8%9C%E7%9C%81%E6%B7%B1%E5%9C%B3%E5%B8%82%E5%85%89%E6%98%8E%E5%8C%BA%E5%85%AC%E6%98%8E%E8%A1%97%E9%81%93%E7%BA%A2%E8%8A%B1%E4%B8%AD%E8%B7%AF_25%E5%B0%8F%E5%8C%BA%E7%89%87%E5%8C%BA.html","查看证据")</f>
        <v/>
      </c>
    </row>
    <row r="163">
      <c r="A163" t="inlineStr">
        <is>
          <t>城中村</t>
        </is>
      </c>
      <c r="B163" t="inlineStr">
        <is>
          <t>25小区片区</t>
        </is>
      </c>
      <c r="C163" t="inlineStr">
        <is>
          <t>1.14</t>
        </is>
      </c>
      <c r="D163" s="5" t="inlineStr">
        <is>
          <t>各类垃圾及时清运，投放点及其周围环境干净整洁，没有垃圾满溢、暴露垃圾、杂物堆放、严重积水或明显异味等问题。（6分）</t>
        </is>
      </c>
      <c r="E163" t="inlineStr">
        <is>
          <t>-4</t>
        </is>
      </c>
      <c r="F163" s="5" t="inlineStr">
        <is>
          <t>（2）垃圾收集容器满溢、未及时清运(-2)（1处问题）； （5）其他问题说明（备注描述）(-2)（1处问题）</t>
        </is>
      </c>
      <c r="G163">
        <f>HYPERLINK("https://yueling-buddy.github.io/xxr-inspection-album/weeks/2026-09-03/venue/v-%E5%B9%BF%E4%B8%9C%E7%9C%81%E6%B7%B1%E5%9C%B3%E5%B8%82%E5%85%89%E6%98%8E%E5%8C%BA%E5%85%AC%E6%98%8E%E8%A1%97%E9%81%93%E7%BA%A2%E8%8A%B1%E4%B8%AD%E8%B7%AF_25%E5%B0%8F%E5%8C%BA%E7%89%87%E5%8C%BA.html","查看证据")</f>
        <v/>
      </c>
    </row>
    <row r="164">
      <c r="A164" t="inlineStr">
        <is>
          <t>城中村</t>
        </is>
      </c>
      <c r="B164" t="inlineStr">
        <is>
          <t>25小区片区</t>
        </is>
      </c>
      <c r="C164" t="inlineStr">
        <is>
          <t>1.18</t>
        </is>
      </c>
      <c r="D164" s="5" t="inlineStr">
        <is>
          <t>禁止在楼层、地面或车库等设置分散式垃圾收集容器。（4分）</t>
        </is>
      </c>
      <c r="E164" t="inlineStr">
        <is>
          <t>-5</t>
        </is>
      </c>
      <c r="F164" s="5" t="inlineStr">
        <is>
          <t>（2）设置分散式垃圾收集容器（随意摆桶未划黄线）(-5)（3处问题）</t>
        </is>
      </c>
      <c r="G164">
        <f>HYPERLINK("https://yueling-buddy.github.io/xxr-inspection-album/weeks/2026-09-03/venue/v-%E5%B9%BF%E4%B8%9C%E7%9C%81%E6%B7%B1%E5%9C%B3%E5%B8%82%E5%85%89%E6%98%8E%E5%8C%BA%E5%85%AC%E6%98%8E%E8%A1%97%E9%81%93%E7%BA%A2%E8%8A%B1%E4%B8%AD%E8%B7%AF_25%E5%B0%8F%E5%8C%BA%E7%89%87%E5%8C%BA.html","查看证据")</f>
        <v/>
      </c>
    </row>
    <row r="165">
      <c r="A165" t="inlineStr">
        <is>
          <t>城中村</t>
        </is>
      </c>
      <c r="B165" t="inlineStr">
        <is>
          <t>25小区片区</t>
        </is>
      </c>
      <c r="C165" t="inlineStr">
        <is>
          <t>2.1</t>
        </is>
      </c>
      <c r="D165" s="5" t="inlineStr">
        <is>
          <t>设置标识牌，外观使用“深i回收”标识，封闭围挡，地面硬底化。（2分）</t>
        </is>
      </c>
      <c r="E165" t="inlineStr">
        <is>
          <t>-2</t>
        </is>
      </c>
      <c r="F165" s="5" t="inlineStr">
        <is>
          <t>（5）其他问题说明（备注描述）(-2)（1处问题）</t>
        </is>
      </c>
      <c r="G165">
        <f>HYPERLINK("https://yueling-buddy.github.io/xxr-inspection-album/weeks/2026-09-03/venue/v-%E5%B9%BF%E4%B8%9C%E7%9C%81%E6%B7%B1%E5%9C%B3%E5%B8%82%E5%85%89%E6%98%8E%E5%8C%BA%E5%85%AC%E6%98%8E%E8%A1%97%E9%81%93%E7%BA%A2%E8%8A%B1%E4%B8%AD%E8%B7%AF_25%E5%B0%8F%E5%8C%BA%E7%89%87%E5%8C%BA.html","查看证据")</f>
        <v/>
      </c>
    </row>
    <row r="166">
      <c r="A166" t="inlineStr">
        <is>
          <t>城中村</t>
        </is>
      </c>
      <c r="B166" t="inlineStr">
        <is>
          <t>25小区片区</t>
        </is>
      </c>
      <c r="C166" t="inlineStr">
        <is>
          <t>2.4</t>
        </is>
      </c>
      <c r="D166" s="5" t="inlineStr">
        <is>
          <t>暂存点及其周围环境干净整洁，没有污水积聚或散落垃圾，禁止存放易燃易爆危险品，禁止违规接电、住人。（2分）</t>
        </is>
      </c>
      <c r="E166" t="inlineStr">
        <is>
          <t>-2</t>
        </is>
      </c>
      <c r="F166" s="5" t="inlineStr">
        <is>
          <t>（2）暂存点及周围环境不整洁（垃圾堆放杂乱、垃圾散落、地面污水积聚等）(-2)（1处问题）</t>
        </is>
      </c>
      <c r="G166">
        <f>HYPERLINK("https://yueling-buddy.github.io/xxr-inspection-album/weeks/2026-09-03/venue/v-%E5%B9%BF%E4%B8%9C%E7%9C%81%E6%B7%B1%E5%9C%B3%E5%B8%82%E5%85%89%E6%98%8E%E5%8C%BA%E5%85%AC%E6%98%8E%E8%A1%97%E9%81%93%E7%BA%A2%E8%8A%B1%E4%B8%AD%E8%B7%AF_25%E5%B0%8F%E5%8C%BA%E7%89%87%E5%8C%BA.html","查看证据")</f>
        <v/>
      </c>
    </row>
    <row r="167">
      <c r="A167" t="inlineStr">
        <is>
          <t>住宅小区</t>
        </is>
      </c>
      <c r="B167" t="inlineStr">
        <is>
          <t>金盾花园</t>
        </is>
      </c>
      <c r="C167" t="inlineStr">
        <is>
          <t>1.2</t>
        </is>
      </c>
      <c r="D167" s="5" t="inlineStr">
        <is>
          <t>至少设置一处有害垃圾收集容器。（2分）</t>
        </is>
      </c>
      <c r="E167" t="inlineStr">
        <is>
          <t>-2</t>
        </is>
      </c>
      <c r="F167" s="5" t="inlineStr">
        <is>
          <t>（2）分类收集容器缺失(-2)（1处问题）</t>
        </is>
      </c>
      <c r="G167">
        <f>HYPERLINK("https://yueling-buddy.github.io/xxr-inspection-album/weeks/2026-09-03/venue/v-%E6%B7%B1%E5%9C%B3%E5%B8%82%E7%BD%97%E6%B9%96%E5%8C%BA%E5%8D%8E%E4%B8%BD%E8%B7%AF1067%E5%8F%B7_%E9%87%91%E7%9B%BE%E8%8A%B1%E5%9B%AD.html","查看证据")</f>
        <v/>
      </c>
    </row>
    <row r="168">
      <c r="A168" t="inlineStr">
        <is>
          <t>住宅小区</t>
        </is>
      </c>
      <c r="B168" t="inlineStr">
        <is>
          <t>金盾花园</t>
        </is>
      </c>
      <c r="C168" t="inlineStr">
        <is>
          <t>1.14</t>
        </is>
      </c>
      <c r="D168" s="5" t="inlineStr">
        <is>
          <t>各类垃圾及时清运，投放点及其周围环境干净整洁，没有垃圾满溢、暴露垃圾、杂物堆放、严重积水或明显异味等问题。（6分）</t>
        </is>
      </c>
      <c r="E168" t="inlineStr">
        <is>
          <t>-2</t>
        </is>
      </c>
      <c r="F168" s="5" t="inlineStr">
        <is>
          <t>（3）环境卫生不整洁（投放点有暴露垃圾、杂物堆放，洗手池严重脏污，地面未硬底化，有明显污水污渍等）(-2)（1处问题）</t>
        </is>
      </c>
      <c r="G168">
        <f>HYPERLINK("https://yueling-buddy.github.io/xxr-inspection-album/weeks/2026-09-03/venue/v-%E6%B7%B1%E5%9C%B3%E5%B8%82%E7%BD%97%E6%B9%96%E5%8C%BA%E5%8D%8E%E4%B8%BD%E8%B7%AF1067%E5%8F%B7_%E9%87%91%E7%9B%BE%E8%8A%B1%E5%9B%AD.html","查看证据")</f>
        <v/>
      </c>
    </row>
    <row r="169">
      <c r="A169" t="inlineStr">
        <is>
          <t>住宅小区</t>
        </is>
      </c>
      <c r="B169" t="inlineStr">
        <is>
          <t>金盾花园</t>
        </is>
      </c>
      <c r="C169" t="inlineStr">
        <is>
          <t>1.17</t>
        </is>
      </c>
      <c r="D169" s="5" t="inlineStr">
        <is>
          <t>转运桶应在黄线划定区域内摆放整齐并保持全天关闭（作业状态除外），禁止罩外摆桶供居民投放。（6分）</t>
        </is>
      </c>
      <c r="E169" t="inlineStr">
        <is>
          <t>-2</t>
        </is>
      </c>
      <c r="F169" s="5" t="inlineStr">
        <is>
          <t>（3）监控范围外罩外摆桶并开盖供居民投放(-2)（1处问题）</t>
        </is>
      </c>
      <c r="G169">
        <f>HYPERLINK("https://yueling-buddy.github.io/xxr-inspection-album/weeks/2026-09-03/venue/v-%E6%B7%B1%E5%9C%B3%E5%B8%82%E7%BD%97%E6%B9%96%E5%8C%BA%E5%8D%8E%E4%B8%BD%E8%B7%AF1067%E5%8F%B7_%E9%87%91%E7%9B%BE%E8%8A%B1%E5%9B%AD.html","查看证据")</f>
        <v/>
      </c>
    </row>
    <row r="170">
      <c r="A170" t="inlineStr">
        <is>
          <t>住宅小区</t>
        </is>
      </c>
      <c r="B170" t="inlineStr">
        <is>
          <t>金盾花园</t>
        </is>
      </c>
      <c r="C170" t="inlineStr">
        <is>
          <t>2.1</t>
        </is>
      </c>
      <c r="D170" s="5" t="inlineStr">
        <is>
          <t>设置标识牌，外观使用“深i回收”标识，封闭围挡，地面硬底化。（2分）</t>
        </is>
      </c>
      <c r="E170" t="inlineStr">
        <is>
          <t>-2</t>
        </is>
      </c>
      <c r="F170" s="5" t="inlineStr">
        <is>
          <t>（5）其他问题说明（备注描述）(-2)（1处问题）</t>
        </is>
      </c>
      <c r="G170">
        <f>HYPERLINK("https://yueling-buddy.github.io/xxr-inspection-album/weeks/2026-09-03/venue/v-%E6%B7%B1%E5%9C%B3%E5%B8%82%E7%BD%97%E6%B9%96%E5%8C%BA%E5%8D%8E%E4%B8%BD%E8%B7%AF1067%E5%8F%B7_%E9%87%91%E7%9B%BE%E8%8A%B1%E5%9B%AD.html","查看证据")</f>
        <v/>
      </c>
    </row>
    <row r="171">
      <c r="A171" t="inlineStr">
        <is>
          <t>住宅小区</t>
        </is>
      </c>
      <c r="B171" t="inlineStr">
        <is>
          <t>金盾花园</t>
        </is>
      </c>
      <c r="C171" t="inlineStr">
        <is>
          <t>2.2</t>
        </is>
      </c>
      <c r="D171" s="5" t="inlineStr">
        <is>
          <t>设置消防设施，使用功能正常，取用方便。（2分）</t>
        </is>
      </c>
      <c r="E171" t="inlineStr">
        <is>
          <t>-2</t>
        </is>
      </c>
      <c r="F171" s="5" t="inlineStr">
        <is>
          <t>（2）消防设施不规范（设备缺失、破损严重/过期等）(-2)（1处问题）</t>
        </is>
      </c>
      <c r="G171">
        <f>HYPERLINK("https://yueling-buddy.github.io/xxr-inspection-album/weeks/2026-09-03/venue/v-%E6%B7%B1%E5%9C%B3%E5%B8%82%E7%BD%97%E6%B9%96%E5%8C%BA%E5%8D%8E%E4%B8%BD%E8%B7%AF1067%E5%8F%B7_%E9%87%91%E7%9B%BE%E8%8A%B1%E5%9B%AD.html","查看证据")</f>
        <v/>
      </c>
    </row>
    <row r="172">
      <c r="A172" t="inlineStr">
        <is>
          <t>住宅小区</t>
        </is>
      </c>
      <c r="B172" t="inlineStr">
        <is>
          <t>金盾花园</t>
        </is>
      </c>
      <c r="C172" t="inlineStr">
        <is>
          <t>2.4</t>
        </is>
      </c>
      <c r="D172" s="5" t="inlineStr">
        <is>
          <t>暂存点及其周围环境干净整洁，没有污水积聚或散落垃圾，禁止存放易燃易爆危险品，禁止违规接电、住人。（2分）</t>
        </is>
      </c>
      <c r="E172" t="inlineStr">
        <is>
          <t>-2</t>
        </is>
      </c>
      <c r="F172" s="5" t="inlineStr">
        <is>
          <t>（2）暂存点及周围环境不整洁（垃圾堆放杂乱、垃圾散落、地面污水积聚等）(-2)（1处问题）</t>
        </is>
      </c>
      <c r="G172">
        <f>HYPERLINK("https://yueling-buddy.github.io/xxr-inspection-album/weeks/2026-09-03/venue/v-%E6%B7%B1%E5%9C%B3%E5%B8%82%E7%BD%97%E6%B9%96%E5%8C%BA%E5%8D%8E%E4%B8%BD%E8%B7%AF1067%E5%8F%B7_%E9%87%91%E7%9B%BE%E8%8A%B1%E5%9B%AD.html","查看证据")</f>
        <v/>
      </c>
    </row>
    <row r="173">
      <c r="A173" t="inlineStr">
        <is>
          <t>住宅小区</t>
        </is>
      </c>
      <c r="B173" t="inlineStr">
        <is>
          <t>1049号中行宿舍</t>
        </is>
      </c>
      <c r="C173" t="inlineStr">
        <is>
          <t>1.17</t>
        </is>
      </c>
      <c r="D173" s="5" t="inlineStr">
        <is>
          <t>转运桶应在黄线划定区域内摆放整齐并保持全天关闭（作业状态除外），禁止罩外摆桶供居民投放。（6分）</t>
        </is>
      </c>
      <c r="E173" t="inlineStr">
        <is>
          <t>-2</t>
        </is>
      </c>
      <c r="F173" s="5" t="inlineStr">
        <is>
          <t>（3）监控范围外罩外摆桶并开盖供居民投放(-2)（1处问题）</t>
        </is>
      </c>
      <c r="G173">
        <f>HYPERLINK("https://yueling-buddy.github.io/xxr-inspection-album/weeks/2026-09-03/venue/v-%E5%8D%8E%E4%B8%BD%E8%B7%AF1049%E5%8F%B7%E9%99%84%E8%BF%91_1049%E5%8F%B7%E4%B8%AD%E8%A1%8C%E5%AE%BF%E8%88%8D.html","查看证据")</f>
        <v/>
      </c>
    </row>
    <row r="174">
      <c r="A174" t="inlineStr">
        <is>
          <t>住宅小区</t>
        </is>
      </c>
      <c r="B174" t="inlineStr">
        <is>
          <t>1049号中行宿舍</t>
        </is>
      </c>
      <c r="C174" t="inlineStr">
        <is>
          <t>2.1</t>
        </is>
      </c>
      <c r="D174" s="5" t="inlineStr">
        <is>
          <t>设置标识牌，外观使用“深i回收”标识，封闭围挡，地面硬底化。（2分）</t>
        </is>
      </c>
      <c r="E174" t="inlineStr">
        <is>
          <t>-2</t>
        </is>
      </c>
      <c r="F174" s="5" t="inlineStr">
        <is>
          <t>（5）其他问题说明（备注描述）(-2)（1处问题）</t>
        </is>
      </c>
      <c r="G174">
        <f>HYPERLINK("https://yueling-buddy.github.io/xxr-inspection-album/weeks/2026-09-03/venue/v-%E5%8D%8E%E4%B8%BD%E8%B7%AF1049%E5%8F%B7%E9%99%84%E8%BF%91_1049%E5%8F%B7%E4%B8%AD%E8%A1%8C%E5%AE%BF%E8%88%8D.html","查看证据")</f>
        <v/>
      </c>
    </row>
    <row r="175">
      <c r="A175" t="inlineStr">
        <is>
          <t>住宅小区</t>
        </is>
      </c>
      <c r="B175" t="inlineStr">
        <is>
          <t>华丽小区</t>
        </is>
      </c>
      <c r="C175" t="inlineStr">
        <is>
          <t>1.17</t>
        </is>
      </c>
      <c r="D175" s="5" t="inlineStr">
        <is>
          <t>转运桶应在黄线划定区域内摆放整齐并保持全天关闭（作业状态除外），禁止罩外摆桶供居民投放。（6分）</t>
        </is>
      </c>
      <c r="E175" t="inlineStr">
        <is>
          <t>-2</t>
        </is>
      </c>
      <c r="F175" s="5" t="inlineStr">
        <is>
          <t>（3）监控范围外罩外摆桶并开盖供居民投放(-2)（1处问题）</t>
        </is>
      </c>
      <c r="G175">
        <f>HYPERLINK("https://yueling-buddy.github.io/xxr-inspection-album/weeks/2026-09-03/venue/v-%E6%B7%B1%E5%9C%B3%E5%B8%82%E7%BD%97%E6%B9%96%E5%8C%BA%E9%BB%84%E8%B4%9D%E8%A1%97%E9%81%93%E5%8D%8E%E4%B8%BD%E8%B7%AF1031%E5%8F%B7_%E5%8D%8E%E4%B8%BD%E5%B0%8F%E5%8C%BA.html","查看证据")</f>
        <v/>
      </c>
    </row>
    <row r="176">
      <c r="A176" t="inlineStr">
        <is>
          <t>住宅小区</t>
        </is>
      </c>
      <c r="B176" t="inlineStr">
        <is>
          <t>华丽小区</t>
        </is>
      </c>
      <c r="C176" t="inlineStr">
        <is>
          <t>2.1</t>
        </is>
      </c>
      <c r="D176" s="5" t="inlineStr">
        <is>
          <t>设置标识牌，外观使用“深i回收”标识，封闭围挡，地面硬底化。（2分）</t>
        </is>
      </c>
      <c r="E176" t="inlineStr">
        <is>
          <t>-2</t>
        </is>
      </c>
      <c r="F176" s="5" t="inlineStr">
        <is>
          <t>（5）其他问题说明（备注描述）(-2)（1处问题）</t>
        </is>
      </c>
      <c r="G176">
        <f>HYPERLINK("https://yueling-buddy.github.io/xxr-inspection-album/weeks/2026-09-03/venue/v-%E6%B7%B1%E5%9C%B3%E5%B8%82%E7%BD%97%E6%B9%96%E5%8C%BA%E9%BB%84%E8%B4%9D%E8%A1%97%E9%81%93%E5%8D%8E%E4%B8%BD%E8%B7%AF1031%E5%8F%B7_%E5%8D%8E%E4%B8%BD%E5%B0%8F%E5%8C%BA.html","查看证据")</f>
        <v/>
      </c>
    </row>
    <row r="177">
      <c r="A177" t="inlineStr">
        <is>
          <t>住宅小区</t>
        </is>
      </c>
      <c r="B177" t="inlineStr">
        <is>
          <t>友谊公司宿舍</t>
        </is>
      </c>
      <c r="C177" t="inlineStr">
        <is>
          <t>1.6</t>
        </is>
      </c>
      <c r="D177" s="5" t="inlineStr">
        <is>
          <t>设置洗手设施。（2分）</t>
        </is>
      </c>
      <c r="E177" t="inlineStr">
        <is>
          <t>-1</t>
        </is>
      </c>
      <c r="F177" s="5" t="inlineStr">
        <is>
          <t>（2）洗手设施缺失(-1)（1处问题）</t>
        </is>
      </c>
      <c r="G177">
        <f>HYPERLINK("https://yueling-buddy.github.io/xxr-inspection-album/weeks/2026-09-03/venue/v-%E6%B7%B1%E5%9C%B3%E5%B8%82%E7%BD%97%E6%B9%96%E5%8C%BA%E9%BB%84%E8%B4%9D%E8%A1%97%E9%81%93%E5%8D%8E%E4%B8%BD%E8%B7%AF1011%E5%8F%B7_%E5%8F%8B%E8%B0%8A%E5%85%AC%E5%8F%B8%E5%AE%BF%E8%88%8D.html","查看证据")</f>
        <v/>
      </c>
    </row>
    <row r="178">
      <c r="A178" t="inlineStr">
        <is>
          <t>住宅小区</t>
        </is>
      </c>
      <c r="B178" t="inlineStr">
        <is>
          <t>友谊公司宿舍</t>
        </is>
      </c>
      <c r="C178" t="inlineStr">
        <is>
          <t>1.7</t>
        </is>
      </c>
      <c r="D178" s="5" t="inlineStr">
        <is>
          <t>设置照明设施，夜间光线充足。（2分）</t>
        </is>
      </c>
      <c r="E178" t="inlineStr">
        <is>
          <t>-1</t>
        </is>
      </c>
      <c r="F178" s="5" t="inlineStr">
        <is>
          <t>（2）照明设施缺失、损坏或光线不足(-1)（1处问题）</t>
        </is>
      </c>
      <c r="G178">
        <f>HYPERLINK("https://yueling-buddy.github.io/xxr-inspection-album/weeks/2026-09-03/venue/v-%E6%B7%B1%E5%9C%B3%E5%B8%82%E7%BD%97%E6%B9%96%E5%8C%BA%E9%BB%84%E8%B4%9D%E8%A1%97%E9%81%93%E5%8D%8E%E4%B8%BD%E8%B7%AF1011%E5%8F%B7_%E5%8F%8B%E8%B0%8A%E5%85%AC%E5%8F%B8%E5%AE%BF%E8%88%8D.html","查看证据")</f>
        <v/>
      </c>
    </row>
    <row r="179">
      <c r="A179" t="inlineStr">
        <is>
          <t>住宅小区</t>
        </is>
      </c>
      <c r="B179" t="inlineStr">
        <is>
          <t>友谊公司宿舍</t>
        </is>
      </c>
      <c r="C179" t="inlineStr">
        <is>
          <t>1.8</t>
        </is>
      </c>
      <c r="D179" s="5" t="inlineStr">
        <is>
          <t>设置公示牌，清晰公示管理责任人和电话、专项垃圾暂存点和废旧织物回收箱位置、厨余垃圾投放时段、各类垃圾收运处理企业等信息。（4分）</t>
        </is>
      </c>
      <c r="E179" t="inlineStr">
        <is>
          <t>-2</t>
        </is>
      </c>
      <c r="F179" s="5" t="inlineStr">
        <is>
          <t>（3）公示牌设置不规范（公示牌脱落、内容缺失、错误或模糊等）(-2)（1处问题）</t>
        </is>
      </c>
      <c r="G179">
        <f>HYPERLINK("https://yueling-buddy.github.io/xxr-inspection-album/weeks/2026-09-03/venue/v-%E6%B7%B1%E5%9C%B3%E5%B8%82%E7%BD%97%E6%B9%96%E5%8C%BA%E9%BB%84%E8%B4%9D%E8%A1%97%E9%81%93%E5%8D%8E%E4%B8%BD%E8%B7%AF1011%E5%8F%B7_%E5%8F%8B%E8%B0%8A%E5%85%AC%E5%8F%B8%E5%AE%BF%E8%88%8D.html","查看证据")</f>
        <v/>
      </c>
    </row>
    <row r="180">
      <c r="A180" t="inlineStr">
        <is>
          <t>住宅小区</t>
        </is>
      </c>
      <c r="B180" t="inlineStr">
        <is>
          <t>友谊公司宿舍</t>
        </is>
      </c>
      <c r="C180" t="inlineStr">
        <is>
          <t>1.17</t>
        </is>
      </c>
      <c r="D180" s="5" t="inlineStr">
        <is>
          <t>转运桶应在黄线划定区域内摆放整齐并保持全天关闭（作业状态除外），禁止罩外摆桶供居民投放。（6分）</t>
        </is>
      </c>
      <c r="E180" t="inlineStr">
        <is>
          <t>-2</t>
        </is>
      </c>
      <c r="F180" s="5" t="inlineStr">
        <is>
          <t>（3）监控范围外罩外摆桶并开盖供居民投放(-2)（1处问题）</t>
        </is>
      </c>
      <c r="G180">
        <f>HYPERLINK("https://yueling-buddy.github.io/xxr-inspection-album/weeks/2026-09-03/venue/v-%E6%B7%B1%E5%9C%B3%E5%B8%82%E7%BD%97%E6%B9%96%E5%8C%BA%E9%BB%84%E8%B4%9D%E8%A1%97%E9%81%93%E5%8D%8E%E4%B8%BD%E8%B7%AF1011%E5%8F%B7_%E5%8F%8B%E8%B0%8A%E5%85%AC%E5%8F%B8%E5%AE%BF%E8%88%8D.html","查看证据")</f>
        <v/>
      </c>
    </row>
    <row r="181">
      <c r="A181" t="inlineStr">
        <is>
          <t>住宅小区</t>
        </is>
      </c>
      <c r="B181" t="inlineStr">
        <is>
          <t>友谊公司宿舍</t>
        </is>
      </c>
      <c r="C181" t="inlineStr">
        <is>
          <t>2.1</t>
        </is>
      </c>
      <c r="D181" s="5" t="inlineStr">
        <is>
          <t>设置标识牌，外观使用“深i回收”标识，封闭围挡，地面硬底化。（2分）</t>
        </is>
      </c>
      <c r="E181" t="inlineStr">
        <is>
          <t>-2</t>
        </is>
      </c>
      <c r="F181" s="5" t="inlineStr">
        <is>
          <t>（5）其他问题说明（备注描述）(-2)（1处问题）</t>
        </is>
      </c>
      <c r="G181">
        <f>HYPERLINK("https://yueling-buddy.github.io/xxr-inspection-album/weeks/2026-09-03/venue/v-%E6%B7%B1%E5%9C%B3%E5%B8%82%E7%BD%97%E6%B9%96%E5%8C%BA%E9%BB%84%E8%B4%9D%E8%A1%97%E9%81%93%E5%8D%8E%E4%B8%BD%E8%B7%AF1011%E5%8F%B7_%E5%8F%8B%E8%B0%8A%E5%85%AC%E5%8F%B8%E5%AE%BF%E8%88%8D.html","查看证据")</f>
        <v/>
      </c>
    </row>
    <row r="182">
      <c r="A182" t="inlineStr">
        <is>
          <t>住宅小区</t>
        </is>
      </c>
      <c r="B182" t="inlineStr">
        <is>
          <t>凤凰路166号大院</t>
        </is>
      </c>
      <c r="C182" t="inlineStr">
        <is>
          <t>1.6</t>
        </is>
      </c>
      <c r="D182" s="5" t="inlineStr">
        <is>
          <t>设置洗手设施。（2分）</t>
        </is>
      </c>
      <c r="E182" t="inlineStr">
        <is>
          <t>-1</t>
        </is>
      </c>
      <c r="F182" s="5" t="inlineStr">
        <is>
          <t>（2）洗手设施缺失(-1)（1处问题）</t>
        </is>
      </c>
      <c r="G182">
        <f>HYPERLINK("https://yueling-buddy.github.io/xxr-inspection-album/weeks/2026-09-03/venue/v-%E6%B7%B1%E5%9C%B3%E5%B8%82%E7%BD%97%E6%B9%96%E5%8C%BA%E9%BB%84%E8%B4%9D%E8%A1%97%E9%81%93%E5%87%A4%E5%87%B0%E8%B7%AF166%E5%8F%B7_%E5%87%A4%E5%87%B0%E8%B7%AF166%E5%8F%B7%E5%A4%A7%E9%99%A2.html","查看证据")</f>
        <v/>
      </c>
    </row>
    <row r="183">
      <c r="A183" t="inlineStr">
        <is>
          <t>住宅小区</t>
        </is>
      </c>
      <c r="B183" t="inlineStr">
        <is>
          <t>凤凰路166号大院</t>
        </is>
      </c>
      <c r="C183" t="inlineStr">
        <is>
          <t>1.8</t>
        </is>
      </c>
      <c r="D183" s="5" t="inlineStr">
        <is>
          <t>设置公示牌，清晰公示管理责任人和电话、专项垃圾暂存点和废旧织物回收箱位置、厨余垃圾投放时段、各类垃圾收运处理企业等信息。（4分）</t>
        </is>
      </c>
      <c r="E183" t="inlineStr">
        <is>
          <t>-2</t>
        </is>
      </c>
      <c r="F183" s="5" t="inlineStr">
        <is>
          <t>（3）公示牌设置不规范（公示牌脱落、内容缺失、错误或模糊等）(-2)（1处问题）</t>
        </is>
      </c>
      <c r="G183">
        <f>HYPERLINK("https://yueling-buddy.github.io/xxr-inspection-album/weeks/2026-09-03/venue/v-%E6%B7%B1%E5%9C%B3%E5%B8%82%E7%BD%97%E6%B9%96%E5%8C%BA%E9%BB%84%E8%B4%9D%E8%A1%97%E9%81%93%E5%87%A4%E5%87%B0%E8%B7%AF166%E5%8F%B7_%E5%87%A4%E5%87%B0%E8%B7%AF166%E5%8F%B7%E5%A4%A7%E9%99%A2.html","查看证据")</f>
        <v/>
      </c>
    </row>
    <row r="184">
      <c r="A184" t="inlineStr">
        <is>
          <t>住宅小区</t>
        </is>
      </c>
      <c r="B184" t="inlineStr">
        <is>
          <t>凤凰路166号大院</t>
        </is>
      </c>
      <c r="C184" t="inlineStr">
        <is>
          <t>2.1</t>
        </is>
      </c>
      <c r="D184" s="5" t="inlineStr">
        <is>
          <t>设置标识牌，外观使用“深i回收”标识，封闭围挡，地面硬底化。（2分）</t>
        </is>
      </c>
      <c r="E184" t="inlineStr">
        <is>
          <t>-2</t>
        </is>
      </c>
      <c r="F184" s="5" t="inlineStr">
        <is>
          <t>（5）其他问题说明（备注描述）(-2)（1处问题）</t>
        </is>
      </c>
      <c r="G184">
        <f>HYPERLINK("https://yueling-buddy.github.io/xxr-inspection-album/weeks/2026-09-03/venue/v-%E6%B7%B1%E5%9C%B3%E5%B8%82%E7%BD%97%E6%B9%96%E5%8C%BA%E9%BB%84%E8%B4%9D%E8%A1%97%E9%81%93%E5%87%A4%E5%87%B0%E8%B7%AF166%E5%8F%B7_%E5%87%A4%E5%87%B0%E8%B7%AF166%E5%8F%B7%E5%A4%A7%E9%99%A2.html","查看证据")</f>
        <v/>
      </c>
    </row>
    <row r="185">
      <c r="A185" t="inlineStr">
        <is>
          <t>餐饮场所</t>
        </is>
      </c>
      <c r="B185" t="inlineStr">
        <is>
          <t>粤海渔港</t>
        </is>
      </c>
      <c r="C185" t="inlineStr">
        <is>
          <t>1.1</t>
        </is>
      </c>
      <c r="D185" s="5" t="inlineStr">
        <is>
          <t>后厨区摆放可回收物、厨余垃圾、其他垃圾收集容器。（6分）</t>
        </is>
      </c>
      <c r="E185" t="inlineStr">
        <is>
          <t>-6</t>
        </is>
      </c>
      <c r="F185" s="5" t="inlineStr">
        <is>
          <t>（2）收集容器缺失(-6)（1处问题）</t>
        </is>
      </c>
      <c r="G185">
        <f>HYPERLINK("https://yueling-buddy.github.io/xxr-inspection-album/weeks/2026-09-03/venue/v-%E5%B9%BF%E4%B8%9C%E7%9C%81%E6%B7%B1%E5%9C%B3%E5%B8%82%E5%85%89%E6%98%8E%E5%8C%BA%E5%85%AC%E6%98%8E%E8%A1%97%E9%81%93%E6%8C%AF%E6%98%8E%E8%B7%AF161%E5%8F%B7%E5%9B%9B%E5%AD%A3%E6%98%9F%E5%9F%8E_%E7%B2%A4%E6%B5%B7%E6%B8%94%E6%B8%AF.html","查看证据")</f>
        <v/>
      </c>
    </row>
    <row r="186">
      <c r="A186" t="inlineStr">
        <is>
          <t>餐饮场所</t>
        </is>
      </c>
      <c r="B186" t="inlineStr">
        <is>
          <t>粤海渔港</t>
        </is>
      </c>
      <c r="C186" t="inlineStr">
        <is>
          <t>3.1</t>
        </is>
      </c>
      <c r="D186" s="5" t="inlineStr">
        <is>
          <t>用餐区张贴或摆放光盘行动、节约粮食等宣传海报或温馨提示。（5分）</t>
        </is>
      </c>
      <c r="E186" t="inlineStr">
        <is>
          <t>-5</t>
        </is>
      </c>
      <c r="F186" s="5" t="inlineStr">
        <is>
          <t>（2）未设置光盘行动、节约粮食等宣传海报或温馨提示等(-5)（1处问题）</t>
        </is>
      </c>
      <c r="G186">
        <f>HYPERLINK("https://yueling-buddy.github.io/xxr-inspection-album/weeks/2026-09-03/venue/v-%E5%B9%BF%E4%B8%9C%E7%9C%81%E6%B7%B1%E5%9C%B3%E5%B8%82%E5%85%89%E6%98%8E%E5%8C%BA%E5%85%AC%E6%98%8E%E8%A1%97%E9%81%93%E6%8C%AF%E6%98%8E%E8%B7%AF161%E5%8F%B7%E5%9B%9B%E5%AD%A3%E6%98%9F%E5%9F%8E_%E7%B2%A4%E6%B5%B7%E6%B8%94%E6%B8%AF.html","查看证据")</f>
        <v/>
      </c>
    </row>
    <row r="187">
      <c r="A187" t="inlineStr">
        <is>
          <t>城中村</t>
        </is>
      </c>
      <c r="B187" t="inlineStr">
        <is>
          <t>南四巷</t>
        </is>
      </c>
      <c r="C187" t="inlineStr">
        <is>
          <t>1.4</t>
        </is>
      </c>
      <c r="D187" s="5" t="inlineStr">
        <is>
          <t>至少设置一处厨余垃圾误时投放点，张贴误时投放点标识，并保持24小时开放。（2分）</t>
        </is>
      </c>
      <c r="E187" t="inlineStr">
        <is>
          <t>-2</t>
        </is>
      </c>
      <c r="F187" s="5" t="inlineStr">
        <is>
          <t>否(-2)（1处问题）</t>
        </is>
      </c>
      <c r="G187">
        <f>HYPERLINK("https://yueling-buddy.github.io/xxr-inspection-album/weeks/2026-09-03/venue/v-%E5%B9%BF%E4%B8%9C%E7%9C%81%E6%B7%B1%E5%9C%B3%E5%B8%82%E5%85%89%E6%98%8E%E5%8C%BA%E5%85%AC%E6%98%8E%E8%A1%97%E9%81%93%E5%BA%B7%E4%B9%90%E8%B7%AF%E5%85%AC%E6%98%8E%E8%A1%97%E5%BF%83%E5%85%AC%E5%9B%AD_%E5%8D%97%E5%9B%9B%E5%B7%B7.html","查看证据")</f>
        <v/>
      </c>
    </row>
    <row r="188">
      <c r="A188" t="inlineStr">
        <is>
          <t>城中村</t>
        </is>
      </c>
      <c r="B188" t="inlineStr">
        <is>
          <t>南四巷</t>
        </is>
      </c>
      <c r="C188" t="inlineStr">
        <is>
          <t>2.4</t>
        </is>
      </c>
      <c r="D188" s="5" t="inlineStr">
        <is>
          <t>暂存点及其周围环境干净整洁，没有污水积聚或散落垃圾，禁止存放易燃易爆危险品，禁止违规接电、住人。（2分）</t>
        </is>
      </c>
      <c r="E188" t="inlineStr">
        <is>
          <t>-2</t>
        </is>
      </c>
      <c r="F188" s="5" t="inlineStr">
        <is>
          <t>（2）暂存点及周围环境不整洁（垃圾堆放杂乱、垃圾散落、地面污水积聚等）(-2)（1处问题）</t>
        </is>
      </c>
      <c r="G188">
        <f>HYPERLINK("https://yueling-buddy.github.io/xxr-inspection-album/weeks/2026-09-03/venue/v-%E5%B9%BF%E4%B8%9C%E7%9C%81%E6%B7%B1%E5%9C%B3%E5%B8%82%E5%85%89%E6%98%8E%E5%8C%BA%E5%85%AC%E6%98%8E%E8%A1%97%E9%81%93%E5%BA%B7%E4%B9%90%E8%B7%AF%E5%85%AC%E6%98%8E%E8%A1%97%E5%BF%83%E5%85%AC%E5%9B%AD_%E5%8D%97%E5%9B%9B%E5%B7%B7.html","查看证据")</f>
        <v/>
      </c>
    </row>
    <row r="189">
      <c r="A189" t="inlineStr">
        <is>
          <t>产业园区</t>
        </is>
      </c>
      <c r="B189" t="inlineStr">
        <is>
          <t>铁甲工业园</t>
        </is>
      </c>
      <c r="C189" t="inlineStr">
        <is>
          <t>1.7</t>
        </is>
      </c>
      <c r="D189" s="5" t="inlineStr">
        <is>
          <t>各设施齐全完好，摆放整齐有序，使用功能正常，没有严重破损、陈旧问题。</t>
        </is>
      </c>
      <c r="E189" t="inlineStr">
        <is>
          <t>-6</t>
        </is>
      </c>
      <c r="F189" s="5" t="inlineStr">
        <is>
          <t>（2）分类设施损坏或摆放不整齐，内桶错放导致桶盖无法正常打开，未放置垃圾内桶等影响正常使用(-3)（1处问题）； （4）其他问题说明（备注描述） (-3)（1处问题）</t>
        </is>
      </c>
      <c r="G189">
        <f>HYPERLINK("https://yueling-buddy.github.io/xxr-inspection-album/weeks/2026-09-03/venue/v-%E5%B9%BF%E4%B8%9C%E7%9C%81%E6%B7%B1%E5%9C%B3%E5%B8%82%E5%85%89%E6%98%8E%E5%8C%BA%E5%85%AC%E6%98%8E%E8%A1%97%E9%81%93%E9%93%81%E7%94%B2%E7%A7%91%E6%8A%80%E5%9B%AD_%E9%93%81%E7%94%B2%E5%B7%A5%E4%B8%9A%E5%9B%AD.html","查看证据")</f>
        <v/>
      </c>
    </row>
    <row r="190">
      <c r="A190" t="inlineStr">
        <is>
          <t>产业园区</t>
        </is>
      </c>
      <c r="B190" t="inlineStr">
        <is>
          <t>铁甲工业园</t>
        </is>
      </c>
      <c r="C190" t="inlineStr">
        <is>
          <t>2.1</t>
        </is>
      </c>
      <c r="D190" s="5" t="inlineStr">
        <is>
          <t>收集容器保持干净整洁，避免陈旧性脏污。</t>
        </is>
      </c>
      <c r="E190" t="inlineStr">
        <is>
          <t>-2</t>
        </is>
      </c>
      <c r="F190" s="5" t="inlineStr">
        <is>
          <t>（2）容器存在明显陈旧性脏污(-2)</t>
        </is>
      </c>
      <c r="G190">
        <f>HYPERLINK("https://yueling-buddy.github.io/xxr-inspection-album/weeks/2026-09-03/venue/v-%E5%B9%BF%E4%B8%9C%E7%9C%81%E6%B7%B1%E5%9C%B3%E5%B8%82%E5%85%89%E6%98%8E%E5%8C%BA%E5%85%AC%E6%98%8E%E8%A1%97%E9%81%93%E9%93%81%E7%94%B2%E7%A7%91%E6%8A%80%E5%9B%AD_%E9%93%81%E7%94%B2%E5%B7%A5%E4%B8%9A%E5%9B%AD.html","查看证据")</f>
        <v/>
      </c>
    </row>
    <row r="191">
      <c r="A191" t="inlineStr">
        <is>
          <t>产业园区</t>
        </is>
      </c>
      <c r="B191" t="inlineStr">
        <is>
          <t>铁甲工业园</t>
        </is>
      </c>
      <c r="C191" t="inlineStr">
        <is>
          <t>2.4</t>
        </is>
      </c>
      <c r="D191" s="5" t="inlineStr">
        <is>
          <t>禁止向生活垃圾收集设施投放工业固体废物。</t>
        </is>
      </c>
      <c r="E191" t="inlineStr">
        <is>
          <t>-6</t>
        </is>
      </c>
      <c r="F191" s="5" t="inlineStr">
        <is>
          <t>（2）将工业固体废物混入生活垃圾收运体系(-6)（1处问题）</t>
        </is>
      </c>
      <c r="G191">
        <f>HYPERLINK("https://yueling-buddy.github.io/xxr-inspection-album/weeks/2026-09-03/venue/v-%E5%B9%BF%E4%B8%9C%E7%9C%81%E6%B7%B1%E5%9C%B3%E5%B8%82%E5%85%89%E6%98%8E%E5%8C%BA%E5%85%AC%E6%98%8E%E8%A1%97%E9%81%93%E9%93%81%E7%94%B2%E7%A7%91%E6%8A%80%E5%9B%AD_%E9%93%81%E7%94%B2%E5%B7%A5%E4%B8%9A%E5%9B%AD.html","查看证据")</f>
        <v/>
      </c>
    </row>
    <row r="192">
      <c r="A192" t="inlineStr">
        <is>
          <t>城中村</t>
        </is>
      </c>
      <c r="B192" t="inlineStr">
        <is>
          <t>旧街片区</t>
        </is>
      </c>
      <c r="C192" t="inlineStr">
        <is>
          <t>1.4</t>
        </is>
      </c>
      <c r="D192" s="5" t="inlineStr">
        <is>
          <t>至少设置一处厨余垃圾误时投放点，张贴误时投放点标识，并保持24小时开放。（2分）</t>
        </is>
      </c>
      <c r="E192" t="inlineStr">
        <is>
          <t>-2</t>
        </is>
      </c>
      <c r="F192" s="5" t="inlineStr">
        <is>
          <t>否(-2)（1处问题）</t>
        </is>
      </c>
      <c r="G192">
        <f>HYPERLINK("https://yueling-buddy.github.io/xxr-inspection-album/weeks/2026-09-03/venue/v-%E5%B9%BF%E4%B8%9C%E7%9C%81%E6%B7%B1%E5%9C%B3%E5%B8%82%E5%85%89%E6%98%8E%E5%8C%BA%E5%85%AC%E6%98%8E%E8%A1%97%E9%81%93%E5%85%AC%E6%98%8E%E8%A7%A3%E6%94%BE%E8%A1%97%E6%B5%B7%E4%BF%A1%E8%8A%B1%E5%9B%AD_%E5%AF%8C%E5%88%A9%E8%B7%AF_%E6%97%A7%E8%A1%97%E7%89%87%E5%8C%BA.html","查看证据")</f>
        <v/>
      </c>
    </row>
    <row r="193">
      <c r="A193" t="inlineStr">
        <is>
          <t>城中村</t>
        </is>
      </c>
      <c r="B193" t="inlineStr">
        <is>
          <t>旧街片区</t>
        </is>
      </c>
      <c r="C193" t="inlineStr">
        <is>
          <t>1.6</t>
        </is>
      </c>
      <c r="D193" s="5" t="inlineStr">
        <is>
          <t>设置洗手设施。（2分）</t>
        </is>
      </c>
      <c r="E193" t="inlineStr">
        <is>
          <t>-1</t>
        </is>
      </c>
      <c r="F193" s="5" t="inlineStr">
        <is>
          <t>（3）洗手设施不规范（包括水龙头损坏或明显松动，水龙头不出水，洗手盆堵塞等）(-1)（1处问题）</t>
        </is>
      </c>
      <c r="G193">
        <f>HYPERLINK("https://yueling-buddy.github.io/xxr-inspection-album/weeks/2026-09-03/venue/v-%E5%B9%BF%E4%B8%9C%E7%9C%81%E6%B7%B1%E5%9C%B3%E5%B8%82%E5%85%89%E6%98%8E%E5%8C%BA%E5%85%AC%E6%98%8E%E8%A1%97%E9%81%93%E5%85%AC%E6%98%8E%E8%A7%A3%E6%94%BE%E8%A1%97%E6%B5%B7%E4%BF%A1%E8%8A%B1%E5%9B%AD_%E5%AF%8C%E5%88%A9%E8%B7%AF_%E6%97%A7%E8%A1%97%E7%89%87%E5%8C%BA.html","查看证据")</f>
        <v/>
      </c>
    </row>
    <row r="194">
      <c r="A194" t="inlineStr">
        <is>
          <t>城中村</t>
        </is>
      </c>
      <c r="B194" t="inlineStr">
        <is>
          <t>旧街片区</t>
        </is>
      </c>
      <c r="C194" t="inlineStr">
        <is>
          <t>1.8</t>
        </is>
      </c>
      <c r="D194" s="5" t="inlineStr">
        <is>
          <t>设置公示牌，清晰公示管理责任人和电话、专项垃圾暂存点和废旧织物回收箱位置、厨余垃圾投放时段、各类垃圾收运处理企业等信息。（4分）</t>
        </is>
      </c>
      <c r="E194" t="inlineStr">
        <is>
          <t>-4</t>
        </is>
      </c>
      <c r="F194" s="5" t="inlineStr">
        <is>
          <t>（2）责任公示牌缺失(-2)（1处问题）； （3）公示牌设置不规范（公示牌脱落、内容缺失、错误或模糊等）(-2)（1处问题）</t>
        </is>
      </c>
      <c r="G194">
        <f>HYPERLINK("https://yueling-buddy.github.io/xxr-inspection-album/weeks/2026-09-03/venue/v-%E5%B9%BF%E4%B8%9C%E7%9C%81%E6%B7%B1%E5%9C%B3%E5%B8%82%E5%85%89%E6%98%8E%E5%8C%BA%E5%85%AC%E6%98%8E%E8%A1%97%E9%81%93%E5%85%AC%E6%98%8E%E8%A7%A3%E6%94%BE%E8%A1%97%E6%B5%B7%E4%BF%A1%E8%8A%B1%E5%9B%AD_%E5%AF%8C%E5%88%A9%E8%B7%AF_%E6%97%A7%E8%A1%97%E7%89%87%E5%8C%BA.html","查看证据")</f>
        <v/>
      </c>
    </row>
    <row r="195">
      <c r="A195" t="inlineStr">
        <is>
          <t>城中村</t>
        </is>
      </c>
      <c r="B195" t="inlineStr">
        <is>
          <t>旧街片区</t>
        </is>
      </c>
      <c r="C195" t="inlineStr">
        <is>
          <t>1.9</t>
        </is>
      </c>
      <c r="D195" s="5" t="inlineStr">
        <is>
          <t>各设施齐全完好，摆放整齐有序，使用功能正常，没有严重破损、陈旧问题，不得拆除投放口盖板支撑杆。（6分）</t>
        </is>
      </c>
      <c r="E195" t="inlineStr">
        <is>
          <t>-2</t>
        </is>
      </c>
      <c r="F195" s="5" t="inlineStr">
        <is>
          <t>（5）其他问题说明（备注描述）(-2)（1处问题）</t>
        </is>
      </c>
      <c r="G195">
        <f>HYPERLINK("https://yueling-buddy.github.io/xxr-inspection-album/weeks/2026-09-03/venue/v-%E5%B9%BF%E4%B8%9C%E7%9C%81%E6%B7%B1%E5%9C%B3%E5%B8%82%E5%85%89%E6%98%8E%E5%8C%BA%E5%85%AC%E6%98%8E%E8%A1%97%E9%81%93%E5%85%AC%E6%98%8E%E8%A7%A3%E6%94%BE%E8%A1%97%E6%B5%B7%E4%BF%A1%E8%8A%B1%E5%9B%AD_%E5%AF%8C%E5%88%A9%E8%B7%AF_%E6%97%A7%E8%A1%97%E7%89%87%E5%8C%BA.html","查看证据")</f>
        <v/>
      </c>
    </row>
    <row r="196">
      <c r="A196" t="inlineStr">
        <is>
          <t>城中村</t>
        </is>
      </c>
      <c r="B196" t="inlineStr">
        <is>
          <t>旧街片区</t>
        </is>
      </c>
      <c r="C196" t="inlineStr">
        <is>
          <t>1.13</t>
        </is>
      </c>
      <c r="D196" s="5" t="inlineStr">
        <is>
          <t>收集容器外壁及内桶保持干净整洁，避免陈旧性脏污，收集容器内无积水。（6分）</t>
        </is>
      </c>
      <c r="E196" t="inlineStr">
        <is>
          <t>-3</t>
        </is>
      </c>
      <c r="F196" s="5" t="inlineStr">
        <is>
          <t>（2）收集容器外壁、内桶存在明显陈旧性脏污，大片锈迹等(-3)（1处问题）</t>
        </is>
      </c>
      <c r="G196">
        <f>HYPERLINK("https://yueling-buddy.github.io/xxr-inspection-album/weeks/2026-09-03/venue/v-%E5%B9%BF%E4%B8%9C%E7%9C%81%E6%B7%B1%E5%9C%B3%E5%B8%82%E5%85%89%E6%98%8E%E5%8C%BA%E5%85%AC%E6%98%8E%E8%A1%97%E9%81%93%E5%85%AC%E6%98%8E%E8%A7%A3%E6%94%BE%E8%A1%97%E6%B5%B7%E4%BF%A1%E8%8A%B1%E5%9B%AD_%E5%AF%8C%E5%88%A9%E8%B7%AF_%E6%97%A7%E8%A1%97%E7%89%87%E5%8C%BA.html","查看证据")</f>
        <v/>
      </c>
    </row>
    <row r="197">
      <c r="A197" t="inlineStr">
        <is>
          <t>城中村</t>
        </is>
      </c>
      <c r="B197" t="inlineStr">
        <is>
          <t>旧街片区</t>
        </is>
      </c>
      <c r="C197" t="inlineStr">
        <is>
          <t>1.14</t>
        </is>
      </c>
      <c r="D197" s="5" t="inlineStr">
        <is>
          <t>各类垃圾及时清运，投放点及其周围环境干净整洁，没有垃圾满溢、暴露垃圾、杂物堆放、严重积水或明显异味等问题。（6分）</t>
        </is>
      </c>
      <c r="E197" t="inlineStr">
        <is>
          <t>-2</t>
        </is>
      </c>
      <c r="F197" s="5" t="inlineStr">
        <is>
          <t>（3）环境卫生不整洁（投放点有暴露垃圾、杂物堆放，洗手池严重脏污，地面未硬底化，有明显污水污渍等）(-2)（1处问题）</t>
        </is>
      </c>
      <c r="G197">
        <f>HYPERLINK("https://yueling-buddy.github.io/xxr-inspection-album/weeks/2026-09-03/venue/v-%E5%B9%BF%E4%B8%9C%E7%9C%81%E6%B7%B1%E5%9C%B3%E5%B8%82%E5%85%89%E6%98%8E%E5%8C%BA%E5%85%AC%E6%98%8E%E8%A1%97%E9%81%93%E5%85%AC%E6%98%8E%E8%A7%A3%E6%94%BE%E8%A1%97%E6%B5%B7%E4%BF%A1%E8%8A%B1%E5%9B%AD_%E5%AF%8C%E5%88%A9%E8%B7%AF_%E6%97%A7%E8%A1%97%E7%89%87%E5%8C%BA.html","查看证据")</f>
        <v/>
      </c>
    </row>
    <row r="198">
      <c r="A198" t="inlineStr">
        <is>
          <t>城中村</t>
        </is>
      </c>
      <c r="B198" t="inlineStr">
        <is>
          <t>旧街片区</t>
        </is>
      </c>
      <c r="C198" t="inlineStr">
        <is>
          <t>2.4</t>
        </is>
      </c>
      <c r="D198" s="5" t="inlineStr">
        <is>
          <t>暂存点及其周围环境干净整洁，没有污水积聚或散落垃圾，禁止存放易燃易爆危险品，禁止违规接电、住人。（2分）</t>
        </is>
      </c>
      <c r="E198" t="inlineStr">
        <is>
          <t>-2</t>
        </is>
      </c>
      <c r="F198" s="5" t="inlineStr">
        <is>
          <t>（2）暂存点及周围环境不整洁（垃圾堆放杂乱、垃圾散落、地面污水积聚等）(-2)（1处问题）</t>
        </is>
      </c>
      <c r="G198">
        <f>HYPERLINK("https://yueling-buddy.github.io/xxr-inspection-album/weeks/2026-09-03/venue/v-%E5%B9%BF%E4%B8%9C%E7%9C%81%E6%B7%B1%E5%9C%B3%E5%B8%82%E5%85%89%E6%98%8E%E5%8C%BA%E5%85%AC%E6%98%8E%E8%A1%97%E9%81%93%E5%85%AC%E6%98%8E%E8%A7%A3%E6%94%BE%E8%A1%97%E6%B5%B7%E4%BF%A1%E8%8A%B1%E5%9B%AD_%E5%AF%8C%E5%88%A9%E8%B7%AF_%E6%97%A7%E8%A1%97%E7%89%87%E5%8C%BA.html","查看证据")</f>
        <v/>
      </c>
    </row>
    <row r="199">
      <c r="A199" t="inlineStr">
        <is>
          <t>住宅小区</t>
        </is>
      </c>
      <c r="B199" t="inlineStr">
        <is>
          <t>骏皇名居</t>
        </is>
      </c>
      <c r="C199" t="inlineStr">
        <is>
          <t>1.8</t>
        </is>
      </c>
      <c r="D199" s="5" t="inlineStr">
        <is>
          <t>设置公示牌，清晰公示管理责任人和电话、专项垃圾暂存点和废旧织物回收箱位置、厨余垃圾投放时段、各类垃圾收运处理企业等信息。（4分）</t>
        </is>
      </c>
      <c r="E199" t="inlineStr">
        <is>
          <t>-2</t>
        </is>
      </c>
      <c r="F199" s="5" t="inlineStr">
        <is>
          <t>（2）责任公示牌缺失(-2)（1处问题）</t>
        </is>
      </c>
      <c r="G199">
        <f>HYPERLINK("https://yueling-buddy.github.io/xxr-inspection-album/weeks/2026-09-03/venue/v-%E7%A6%8F%E5%BC%BA%E8%B7%AF2069%E5%8F%B7_%E9%AA%8F%E7%9A%87%E5%90%8D%E5%B1%85.html","查看证据")</f>
        <v/>
      </c>
    </row>
    <row r="200">
      <c r="A200" t="inlineStr">
        <is>
          <t>住宅小区</t>
        </is>
      </c>
      <c r="B200" t="inlineStr">
        <is>
          <t>骏皇名居</t>
        </is>
      </c>
      <c r="C200" t="inlineStr">
        <is>
          <t>1.9</t>
        </is>
      </c>
      <c r="D200" s="5" t="inlineStr">
        <is>
          <t>各设施齐全完好，摆放整齐有序，使用功能正常，没有严重破损、陈旧问题，不得拆除投放口盖板支撑杆。（6分）</t>
        </is>
      </c>
      <c r="E200" t="inlineStr">
        <is>
          <t>-2</t>
        </is>
      </c>
      <c r="F200" s="5" t="inlineStr">
        <is>
          <t>（3）内桶错放导致桶盖无法正常打开，未放置垃圾内桶等影响正常使用(-2)（1处问题）</t>
        </is>
      </c>
      <c r="G200">
        <f>HYPERLINK("https://yueling-buddy.github.io/xxr-inspection-album/weeks/2026-09-03/venue/v-%E7%A6%8F%E5%BC%BA%E8%B7%AF2069%E5%8F%B7_%E9%AA%8F%E7%9A%87%E5%90%8D%E5%B1%85.html","查看证据")</f>
        <v/>
      </c>
    </row>
    <row r="201">
      <c r="A201" t="inlineStr">
        <is>
          <t>住宅小区</t>
        </is>
      </c>
      <c r="B201" t="inlineStr">
        <is>
          <t>骏皇名居</t>
        </is>
      </c>
      <c r="C201" t="inlineStr">
        <is>
          <t>1.13</t>
        </is>
      </c>
      <c r="D201" s="5" t="inlineStr">
        <is>
          <t>收集容器外壁及内桶保持干净整洁，避免陈旧性脏污，收集容器内无积水。（4分）</t>
        </is>
      </c>
      <c r="E201" t="inlineStr">
        <is>
          <t>-2</t>
        </is>
      </c>
      <c r="F201" s="5" t="inlineStr">
        <is>
          <t>（2）收集容器外壁、内桶存在明显陈旧性脏污，大片锈迹等(-2)（1处问题）</t>
        </is>
      </c>
      <c r="G201">
        <f>HYPERLINK("https://yueling-buddy.github.io/xxr-inspection-album/weeks/2026-09-03/venue/v-%E7%A6%8F%E5%BC%BA%E8%B7%AF2069%E5%8F%B7_%E9%AA%8F%E7%9A%87%E5%90%8D%E5%B1%85.html","查看证据")</f>
        <v/>
      </c>
    </row>
    <row r="202">
      <c r="A202" t="inlineStr">
        <is>
          <t>住宅小区</t>
        </is>
      </c>
      <c r="B202" t="inlineStr">
        <is>
          <t>骏皇名居</t>
        </is>
      </c>
      <c r="C202" t="inlineStr">
        <is>
          <t>1.16</t>
        </is>
      </c>
      <c r="D202" s="5" t="inlineStr">
        <is>
          <t>禁止通过捆绑、卡挡或上锁等方式封闭或遮挡投放口。（4分）</t>
        </is>
      </c>
      <c r="E202" t="inlineStr">
        <is>
          <t>-2</t>
        </is>
      </c>
      <c r="F202" s="5" t="inlineStr">
        <is>
          <t>（2）投放口被封闭或遮挡(-2)（1处问题）</t>
        </is>
      </c>
      <c r="G202">
        <f>HYPERLINK("https://yueling-buddy.github.io/xxr-inspection-album/weeks/2026-09-03/venue/v-%E7%A6%8F%E5%BC%BA%E8%B7%AF2069%E5%8F%B7_%E9%AA%8F%E7%9A%87%E5%90%8D%E5%B1%85.html","查看证据")</f>
        <v/>
      </c>
    </row>
    <row r="203">
      <c r="A203" t="inlineStr">
        <is>
          <t>住宅小区</t>
        </is>
      </c>
      <c r="B203" t="inlineStr">
        <is>
          <t>骏皇名居</t>
        </is>
      </c>
      <c r="C203" t="inlineStr">
        <is>
          <t>1.17</t>
        </is>
      </c>
      <c r="D203" s="5" t="inlineStr">
        <is>
          <t>转运桶应在黄线划定区域内摆放整齐并保持全天关闭（作业状态除外），禁止罩外摆桶供居民投放。（6分）</t>
        </is>
      </c>
      <c r="E203" t="inlineStr">
        <is>
          <t>-4</t>
        </is>
      </c>
      <c r="F203" s="5" t="inlineStr">
        <is>
          <t>（3）监控范围外罩外摆桶并开盖供居民投放(-2)（2处问题）</t>
        </is>
      </c>
      <c r="G203">
        <f>HYPERLINK("https://yueling-buddy.github.io/xxr-inspection-album/weeks/2026-09-03/venue/v-%E7%A6%8F%E5%BC%BA%E8%B7%AF2069%E5%8F%B7_%E9%AA%8F%E7%9A%87%E5%90%8D%E5%B1%85.html","查看证据")</f>
        <v/>
      </c>
    </row>
    <row r="204">
      <c r="A204" t="inlineStr">
        <is>
          <t>住宅小区</t>
        </is>
      </c>
      <c r="B204" t="inlineStr">
        <is>
          <t>骏皇名居</t>
        </is>
      </c>
      <c r="C204" t="inlineStr">
        <is>
          <t>2.1</t>
        </is>
      </c>
      <c r="D204" s="5" t="inlineStr">
        <is>
          <t>设置标识牌，外观使用“深i回收”标识，封闭围挡，地面硬底化。（2分）</t>
        </is>
      </c>
      <c r="E204" t="inlineStr">
        <is>
          <t>-2</t>
        </is>
      </c>
      <c r="F204" s="5" t="inlineStr">
        <is>
          <t>（5）其他问题说明（备注描述）(-2)（1处问题）</t>
        </is>
      </c>
      <c r="G204">
        <f>HYPERLINK("https://yueling-buddy.github.io/xxr-inspection-album/weeks/2026-09-03/venue/v-%E7%A6%8F%E5%BC%BA%E8%B7%AF2069%E5%8F%B7_%E9%AA%8F%E7%9A%87%E5%90%8D%E5%B1%85.html","查看证据")</f>
        <v/>
      </c>
    </row>
    <row r="205">
      <c r="A205" t="inlineStr">
        <is>
          <t>住宅小区</t>
        </is>
      </c>
      <c r="B205" t="inlineStr">
        <is>
          <t>银泰苑</t>
        </is>
      </c>
      <c r="C205" t="inlineStr">
        <is>
          <t>1.8</t>
        </is>
      </c>
      <c r="D205" s="5" t="inlineStr">
        <is>
          <t>设置公示牌，清晰公示管理责任人和电话、专项垃圾暂存点和废旧织物回收箱位置、厨余垃圾投放时段、各类垃圾收运处理企业等信息。（4分）</t>
        </is>
      </c>
      <c r="E205" t="inlineStr">
        <is>
          <t>-2</t>
        </is>
      </c>
      <c r="F205" s="5" t="inlineStr">
        <is>
          <t>（2）责任公示牌缺失(-2)（1处问题）</t>
        </is>
      </c>
      <c r="G205">
        <f>HYPERLINK("https://yueling-buddy.github.io/xxr-inspection-album/weeks/2026-09-03/venue/v-%E7%A6%8F%E5%BC%BA%E8%B7%AF2053%E5%8F%B7%E9%93%B6%E6%B3%B0%E8%8B%91_%E9%93%B6%E6%B3%B0%E8%8B%91.html","查看证据")</f>
        <v/>
      </c>
    </row>
    <row r="206">
      <c r="A206" t="inlineStr">
        <is>
          <t>住宅小区</t>
        </is>
      </c>
      <c r="B206" t="inlineStr">
        <is>
          <t>银泰苑</t>
        </is>
      </c>
      <c r="C206" t="inlineStr">
        <is>
          <t>1.9</t>
        </is>
      </c>
      <c r="D206" s="5" t="inlineStr">
        <is>
          <t>各设施齐全完好，摆放整齐有序，使用功能正常，没有严重破损、陈旧问题，不得拆除投放口盖板支撑杆。（6分）</t>
        </is>
      </c>
      <c r="E206" t="inlineStr">
        <is>
          <t>-2</t>
        </is>
      </c>
      <c r="F206" s="5" t="inlineStr">
        <is>
          <t>（3）内桶错放导致桶盖无法正常打开，未放置垃圾内桶等影响正常使用(-2)（1处问题）</t>
        </is>
      </c>
      <c r="G206">
        <f>HYPERLINK("https://yueling-buddy.github.io/xxr-inspection-album/weeks/2026-09-03/venue/v-%E7%A6%8F%E5%BC%BA%E8%B7%AF2053%E5%8F%B7%E9%93%B6%E6%B3%B0%E8%8B%91_%E9%93%B6%E6%B3%B0%E8%8B%91.html","查看证据")</f>
        <v/>
      </c>
    </row>
    <row r="207">
      <c r="A207" t="inlineStr">
        <is>
          <t>住宅小区</t>
        </is>
      </c>
      <c r="B207" t="inlineStr">
        <is>
          <t>银泰苑</t>
        </is>
      </c>
      <c r="C207" t="inlineStr">
        <is>
          <t>1.13</t>
        </is>
      </c>
      <c r="D207" s="5" t="inlineStr">
        <is>
          <t>收集容器外壁及内桶保持干净整洁，避免陈旧性脏污，收集容器内无积水。（4分）</t>
        </is>
      </c>
      <c r="E207" t="inlineStr">
        <is>
          <t>-2</t>
        </is>
      </c>
      <c r="F207" s="5" t="inlineStr">
        <is>
          <t>（2）收集容器外壁、内桶存在明显陈旧性脏污，大片锈迹等(-2)（1处问题）</t>
        </is>
      </c>
      <c r="G207">
        <f>HYPERLINK("https://yueling-buddy.github.io/xxr-inspection-album/weeks/2026-09-03/venue/v-%E7%A6%8F%E5%BC%BA%E8%B7%AF2053%E5%8F%B7%E9%93%B6%E6%B3%B0%E8%8B%91_%E9%93%B6%E6%B3%B0%E8%8B%91.html","查看证据")</f>
        <v/>
      </c>
    </row>
    <row r="208">
      <c r="A208" t="inlineStr">
        <is>
          <t>住宅小区</t>
        </is>
      </c>
      <c r="B208" t="inlineStr">
        <is>
          <t>银泰苑</t>
        </is>
      </c>
      <c r="C208" t="inlineStr">
        <is>
          <t>1.17</t>
        </is>
      </c>
      <c r="D208" s="5" t="inlineStr">
        <is>
          <t>转运桶应在黄线划定区域内摆放整齐并保持全天关闭（作业状态除外），禁止罩外摆桶供居民投放。（6分）</t>
        </is>
      </c>
      <c r="E208" t="inlineStr">
        <is>
          <t>-2</t>
        </is>
      </c>
      <c r="F208" s="5" t="inlineStr">
        <is>
          <t>（3）监控范围外罩外摆桶并开盖供居民投放(-2)（1处问题）</t>
        </is>
      </c>
      <c r="G208">
        <f>HYPERLINK("https://yueling-buddy.github.io/xxr-inspection-album/weeks/2026-09-03/venue/v-%E7%A6%8F%E5%BC%BA%E8%B7%AF2053%E5%8F%B7%E9%93%B6%E6%B3%B0%E8%8B%91_%E9%93%B6%E6%B3%B0%E8%8B%91.html","查看证据")</f>
        <v/>
      </c>
    </row>
    <row r="209">
      <c r="A209" t="inlineStr">
        <is>
          <t>住宅小区</t>
        </is>
      </c>
      <c r="B209" t="inlineStr">
        <is>
          <t>银泰苑</t>
        </is>
      </c>
      <c r="C209" t="inlineStr">
        <is>
          <t>2.4</t>
        </is>
      </c>
      <c r="D209" s="5" t="inlineStr">
        <is>
          <t>暂存点及其周围环境干净整洁，没有污水积聚或散落垃圾，禁止存放易燃易爆危险品，禁止违规接电、住人。（2分）</t>
        </is>
      </c>
      <c r="E209" t="inlineStr">
        <is>
          <t>-2</t>
        </is>
      </c>
      <c r="F209" s="5" t="inlineStr">
        <is>
          <t>（4）暂存点外堆放废旧家具等大件垃圾(-2)（1处问题）</t>
        </is>
      </c>
      <c r="G209">
        <f>HYPERLINK("https://yueling-buddy.github.io/xxr-inspection-album/weeks/2026-09-03/venue/v-%E7%A6%8F%E5%BC%BA%E8%B7%AF2053%E5%8F%B7%E9%93%B6%E6%B3%B0%E8%8B%91_%E9%93%B6%E6%B3%B0%E8%8B%91.html","查看证据")</f>
        <v/>
      </c>
    </row>
    <row r="210">
      <c r="A210" t="inlineStr">
        <is>
          <t>住宅小区</t>
        </is>
      </c>
      <c r="B210" t="inlineStr">
        <is>
          <t>南光名仕苑</t>
        </is>
      </c>
      <c r="C210" t="inlineStr">
        <is>
          <t>1.5</t>
        </is>
      </c>
      <c r="D210" s="5" t="inlineStr">
        <is>
          <t>分类标志完整、正确、清晰，各类垃圾收集容器外罩和内桶的颜色正确。（4分）</t>
        </is>
      </c>
      <c r="E210" t="inlineStr">
        <is>
          <t>-2</t>
        </is>
      </c>
      <c r="F210" s="5" t="inlineStr">
        <is>
          <t>（3）外罩和内桶颜色不正确;（不强制要求垃圾桶套袋，若套袋的，收集容器应按垃圾类别对应颜色套袋）(-2)（1处问题）</t>
        </is>
      </c>
      <c r="G210">
        <f>HYPERLINK("https://yueling-buddy.github.io/xxr-inspection-album/weeks/2026-09-03/venue/v-%E8%8F%A9%E6%8F%90%E8%B7%AF48%E5%8F%B7_%E5%8D%97%E5%85%89%E5%90%8D%E4%BB%95%E8%8B%91.html","查看证据")</f>
        <v/>
      </c>
    </row>
    <row r="211">
      <c r="A211" t="inlineStr">
        <is>
          <t>住宅小区</t>
        </is>
      </c>
      <c r="B211" t="inlineStr">
        <is>
          <t>南光名仕苑</t>
        </is>
      </c>
      <c r="C211" t="inlineStr">
        <is>
          <t>1.9</t>
        </is>
      </c>
      <c r="D211" s="5" t="inlineStr">
        <is>
          <t>各设施齐全完好，摆放整齐有序，使用功能正常，没有严重破损、陈旧问题，不得拆除投放口盖板支撑杆。（6分）</t>
        </is>
      </c>
      <c r="E211" t="inlineStr">
        <is>
          <t>-4</t>
        </is>
      </c>
      <c r="F211" s="5" t="inlineStr">
        <is>
          <t>（2）分类设施损坏或摆放不整齐(-2)（1处问题）； （3）内桶错放导致桶盖无法正常打开，未放置垃圾内桶等影响正常使用(-2)（1处问题）</t>
        </is>
      </c>
      <c r="G211">
        <f>HYPERLINK("https://yueling-buddy.github.io/xxr-inspection-album/weeks/2026-09-03/venue/v-%E8%8F%A9%E6%8F%90%E8%B7%AF48%E5%8F%B7_%E5%8D%97%E5%85%89%E5%90%8D%E4%BB%95%E8%8B%91.html","查看证据")</f>
        <v/>
      </c>
    </row>
    <row r="212">
      <c r="A212" t="inlineStr">
        <is>
          <t>住宅小区</t>
        </is>
      </c>
      <c r="B212" t="inlineStr">
        <is>
          <t>南光名仕苑</t>
        </is>
      </c>
      <c r="C212" t="inlineStr">
        <is>
          <t>1.17</t>
        </is>
      </c>
      <c r="D212" s="5" t="inlineStr">
        <is>
          <t>转运桶应在黄线划定区域内摆放整齐并保持全天关闭（作业状态除外），禁止罩外摆桶供居民投放。（6分）</t>
        </is>
      </c>
      <c r="E212" t="inlineStr">
        <is>
          <t>-2</t>
        </is>
      </c>
      <c r="F212" s="5" t="inlineStr">
        <is>
          <t>（3）监控范围外罩外摆桶并开盖供居民投放(-2)（1处问题）</t>
        </is>
      </c>
      <c r="G212">
        <f>HYPERLINK("https://yueling-buddy.github.io/xxr-inspection-album/weeks/2026-09-03/venue/v-%E8%8F%A9%E6%8F%90%E8%B7%AF48%E5%8F%B7_%E5%8D%97%E5%85%89%E5%90%8D%E4%BB%95%E8%8B%91.html","查看证据")</f>
        <v/>
      </c>
    </row>
    <row r="213">
      <c r="A213" t="inlineStr">
        <is>
          <t>住宅小区</t>
        </is>
      </c>
      <c r="B213" t="inlineStr">
        <is>
          <t>南光名仕苑</t>
        </is>
      </c>
      <c r="C213" t="inlineStr">
        <is>
          <t>2.1</t>
        </is>
      </c>
      <c r="D213" s="5" t="inlineStr">
        <is>
          <t>设置标识牌，外观使用“深i回收”标识，封闭围挡，地面硬底化。（2分）</t>
        </is>
      </c>
      <c r="E213" t="inlineStr">
        <is>
          <t>-2</t>
        </is>
      </c>
      <c r="F213" s="5" t="inlineStr">
        <is>
          <t>（5）其他问题说明（备注描述）(-2)（1处问题）</t>
        </is>
      </c>
      <c r="G213">
        <f>HYPERLINK("https://yueling-buddy.github.io/xxr-inspection-album/weeks/2026-09-03/venue/v-%E8%8F%A9%E6%8F%90%E8%B7%AF48%E5%8F%B7_%E5%8D%97%E5%85%89%E5%90%8D%E4%BB%95%E8%8B%91.html","查看证据")</f>
        <v/>
      </c>
    </row>
    <row r="214">
      <c r="A214" t="inlineStr">
        <is>
          <t>住宅小区</t>
        </is>
      </c>
      <c r="B214" t="inlineStr">
        <is>
          <t>南光名仕苑</t>
        </is>
      </c>
      <c r="C214" t="inlineStr">
        <is>
          <t>2.2</t>
        </is>
      </c>
      <c r="D214" s="5" t="inlineStr">
        <is>
          <t>设置消防设施，使用功能正常，取用方便。（2分）</t>
        </is>
      </c>
      <c r="E214" t="inlineStr">
        <is>
          <t>-2</t>
        </is>
      </c>
      <c r="F214" s="5" t="inlineStr">
        <is>
          <t>（2）消防设施不规范（设备缺失、破损严重/过期等）(-2)（1处问题）</t>
        </is>
      </c>
      <c r="G214">
        <f>HYPERLINK("https://yueling-buddy.github.io/xxr-inspection-album/weeks/2026-09-03/venue/v-%E8%8F%A9%E6%8F%90%E8%B7%AF48%E5%8F%B7_%E5%8D%97%E5%85%89%E5%90%8D%E4%BB%95%E8%8B%91.html","查看证据")</f>
        <v/>
      </c>
    </row>
    <row r="215">
      <c r="A215" t="inlineStr">
        <is>
          <t>住宅小区</t>
        </is>
      </c>
      <c r="B215" t="inlineStr">
        <is>
          <t>南光名仕苑</t>
        </is>
      </c>
      <c r="C215" t="inlineStr">
        <is>
          <t>3.2</t>
        </is>
      </c>
      <c r="D215" s="5" t="inlineStr">
        <is>
          <t>暂存点及其周围环境干净整洁，各类桶整齐、密闭摆放，没有污水积聚或散落垃圾。（2分）</t>
        </is>
      </c>
      <c r="E215" t="inlineStr">
        <is>
          <t>-2</t>
        </is>
      </c>
      <c r="F215" s="5" t="inlineStr">
        <is>
          <t>（2）暂存点及周围环境不整洁（垃圾堆放杂乱、垃圾散落、地面污水积聚等）(-2)（1处问题）</t>
        </is>
      </c>
      <c r="G215">
        <f>HYPERLINK("https://yueling-buddy.github.io/xxr-inspection-album/weeks/2026-09-03/venue/v-%E8%8F%A9%E6%8F%90%E8%B7%AF48%E5%8F%B7_%E5%8D%97%E5%85%89%E5%90%8D%E4%BB%95%E8%8B%91.html","查看证据")</f>
        <v/>
      </c>
    </row>
    <row r="216">
      <c r="A216" t="inlineStr">
        <is>
          <t>住宅小区</t>
        </is>
      </c>
      <c r="B216" t="inlineStr">
        <is>
          <t>嘉福花园</t>
        </is>
      </c>
      <c r="C216" t="inlineStr">
        <is>
          <t>1.9</t>
        </is>
      </c>
      <c r="D216" s="5" t="inlineStr">
        <is>
          <t>各设施齐全完好，摆放整齐有序，使用功能正常，没有严重破损、陈旧问题，不得拆除投放口盖板支撑杆。（6分）</t>
        </is>
      </c>
      <c r="E216" t="inlineStr">
        <is>
          <t>-4</t>
        </is>
      </c>
      <c r="F216" s="5" t="inlineStr">
        <is>
          <t>（2）分类设施损坏或摆放不整齐(-2)（1处问题）； （3）内桶错放导致桶盖无法正常打开，未放置垃圾内桶等影响正常使用(-2)（1处问题）</t>
        </is>
      </c>
      <c r="G216">
        <f>HYPERLINK("https://yueling-buddy.github.io/xxr-inspection-album/weeks/2026-09-03/venue/v-%E6%B7%B1%E5%9C%B3%E5%B8%82%E7%A6%8F%E7%94%B0%E4%BF%9D%E7%A8%8E%E5%8C%BA%E8%8F%A9%E6%8F%90%E8%B7%AF18%E5%8F%B7%E5%98%89%E7%A6%8F%E8%8A%B1%E5%9B%AD_%E5%98%89%E7%A6%8F%E8%8A%B1%E5%9B%AD.html","查看证据")</f>
        <v/>
      </c>
    </row>
    <row r="217">
      <c r="A217" t="inlineStr">
        <is>
          <t>住宅小区</t>
        </is>
      </c>
      <c r="B217" t="inlineStr">
        <is>
          <t>嘉福花园</t>
        </is>
      </c>
      <c r="C217" t="inlineStr">
        <is>
          <t>1.13</t>
        </is>
      </c>
      <c r="D217" s="5" t="inlineStr">
        <is>
          <t>收集容器外壁及内桶保持干净整洁，避免陈旧性脏污，收集容器内无积水。（4分）</t>
        </is>
      </c>
      <c r="E217" t="inlineStr">
        <is>
          <t>-2</t>
        </is>
      </c>
      <c r="F217" s="5" t="inlineStr">
        <is>
          <t>（2）收集容器外壁、内桶存在明显陈旧性脏污，大片锈迹等(-2)（1处问题）</t>
        </is>
      </c>
      <c r="G217">
        <f>HYPERLINK("https://yueling-buddy.github.io/xxr-inspection-album/weeks/2026-09-03/venue/v-%E6%B7%B1%E5%9C%B3%E5%B8%82%E7%A6%8F%E7%94%B0%E4%BF%9D%E7%A8%8E%E5%8C%BA%E8%8F%A9%E6%8F%90%E8%B7%AF18%E5%8F%B7%E5%98%89%E7%A6%8F%E8%8A%B1%E5%9B%AD_%E5%98%89%E7%A6%8F%E8%8A%B1%E5%9B%AD.html","查看证据")</f>
        <v/>
      </c>
    </row>
    <row r="218">
      <c r="A218" t="inlineStr">
        <is>
          <t>住宅小区</t>
        </is>
      </c>
      <c r="B218" t="inlineStr">
        <is>
          <t>嘉福花园</t>
        </is>
      </c>
      <c r="C218" t="inlineStr">
        <is>
          <t>1.14</t>
        </is>
      </c>
      <c r="D218" s="5" t="inlineStr">
        <is>
          <t>各类垃圾及时清运，投放点及其周围环境干净整洁，没有垃圾满溢、暴露垃圾、杂物堆放、严重积水或明显异味等问题。（6分）</t>
        </is>
      </c>
      <c r="E218" t="inlineStr">
        <is>
          <t>-2</t>
        </is>
      </c>
      <c r="F218" s="5" t="inlineStr">
        <is>
          <t>（3）环境卫生不整洁（投放点有暴露垃圾、杂物堆放，洗手池严重脏污，地面未硬底化，有明显污水污渍等）(-2)（1处问题）</t>
        </is>
      </c>
      <c r="G218">
        <f>HYPERLINK("https://yueling-buddy.github.io/xxr-inspection-album/weeks/2026-09-03/venue/v-%E6%B7%B1%E5%9C%B3%E5%B8%82%E7%A6%8F%E7%94%B0%E4%BF%9D%E7%A8%8E%E5%8C%BA%E8%8F%A9%E6%8F%90%E8%B7%AF18%E5%8F%B7%E5%98%89%E7%A6%8F%E8%8A%B1%E5%9B%AD_%E5%98%89%E7%A6%8F%E8%8A%B1%E5%9B%AD.html","查看证据")</f>
        <v/>
      </c>
    </row>
    <row r="219">
      <c r="A219" t="inlineStr">
        <is>
          <t>住宅小区</t>
        </is>
      </c>
      <c r="B219" t="inlineStr">
        <is>
          <t>嘉福花园</t>
        </is>
      </c>
      <c r="C219" t="inlineStr">
        <is>
          <t>1.16</t>
        </is>
      </c>
      <c r="D219" s="5" t="inlineStr">
        <is>
          <t>禁止通过捆绑、卡挡或上锁等方式封闭或遮挡投放口。（4分）</t>
        </is>
      </c>
      <c r="E219" t="inlineStr">
        <is>
          <t>-2</t>
        </is>
      </c>
      <c r="F219" s="5" t="inlineStr">
        <is>
          <t>（2）投放口被封闭或遮挡(-2)（1处问题）</t>
        </is>
      </c>
      <c r="G219">
        <f>HYPERLINK("https://yueling-buddy.github.io/xxr-inspection-album/weeks/2026-09-03/venue/v-%E6%B7%B1%E5%9C%B3%E5%B8%82%E7%A6%8F%E7%94%B0%E4%BF%9D%E7%A8%8E%E5%8C%BA%E8%8F%A9%E6%8F%90%E8%B7%AF18%E5%8F%B7%E5%98%89%E7%A6%8F%E8%8A%B1%E5%9B%AD_%E5%98%89%E7%A6%8F%E8%8A%B1%E5%9B%AD.html","查看证据")</f>
        <v/>
      </c>
    </row>
    <row r="220">
      <c r="A220" t="inlineStr">
        <is>
          <t>住宅小区</t>
        </is>
      </c>
      <c r="B220" t="inlineStr">
        <is>
          <t>嘉福花园</t>
        </is>
      </c>
      <c r="C220" t="inlineStr">
        <is>
          <t>1.17</t>
        </is>
      </c>
      <c r="D220" s="5" t="inlineStr">
        <is>
          <t>转运桶应在黄线划定区域内摆放整齐并保持全天关闭（作业状态除外），禁止罩外摆桶供居民投放。（6分）</t>
        </is>
      </c>
      <c r="E220" t="inlineStr">
        <is>
          <t>-4</t>
        </is>
      </c>
      <c r="F220" s="5" t="inlineStr">
        <is>
          <t>（3）监控范围外罩外摆桶并开盖供居民投放(-2)（2处问题）</t>
        </is>
      </c>
      <c r="G220">
        <f>HYPERLINK("https://yueling-buddy.github.io/xxr-inspection-album/weeks/2026-09-03/venue/v-%E6%B7%B1%E5%9C%B3%E5%B8%82%E7%A6%8F%E7%94%B0%E4%BF%9D%E7%A8%8E%E5%8C%BA%E8%8F%A9%E6%8F%90%E8%B7%AF18%E5%8F%B7%E5%98%89%E7%A6%8F%E8%8A%B1%E5%9B%AD_%E5%98%89%E7%A6%8F%E8%8A%B1%E5%9B%AD.html","查看证据")</f>
        <v/>
      </c>
    </row>
    <row r="221">
      <c r="A221" t="inlineStr">
        <is>
          <t>住宅小区</t>
        </is>
      </c>
      <c r="B221" t="inlineStr">
        <is>
          <t>嘉福花园</t>
        </is>
      </c>
      <c r="C221" t="inlineStr">
        <is>
          <t>5.5</t>
        </is>
      </c>
      <c r="D221" s="5" t="inlineStr">
        <is>
          <t>回收箱及周边环境干净整洁，无垃圾满溢、暴露垃圾或杂物堆放等问题。（2分）</t>
        </is>
      </c>
      <c r="E221" t="inlineStr">
        <is>
          <t>-2</t>
        </is>
      </c>
      <c r="F221" s="5" t="inlineStr">
        <is>
          <t>周边环境脏乱(-2)（1处问题）</t>
        </is>
      </c>
      <c r="G221">
        <f>HYPERLINK("https://yueling-buddy.github.io/xxr-inspection-album/weeks/2026-09-03/venue/v-%E6%B7%B1%E5%9C%B3%E5%B8%82%E7%A6%8F%E7%94%B0%E4%BF%9D%E7%A8%8E%E5%8C%BA%E8%8F%A9%E6%8F%90%E8%B7%AF18%E5%8F%B7%E5%98%89%E7%A6%8F%E8%8A%B1%E5%9B%AD_%E5%98%89%E7%A6%8F%E8%8A%B1%E5%9B%AD.html","查看证据")</f>
        <v/>
      </c>
    </row>
    <row r="222">
      <c r="A222" t="inlineStr">
        <is>
          <t>住宅小区</t>
        </is>
      </c>
      <c r="B222" t="inlineStr">
        <is>
          <t>鸿洲新都</t>
        </is>
      </c>
      <c r="C222" t="inlineStr">
        <is>
          <t>1.9</t>
        </is>
      </c>
      <c r="D222" s="5" t="inlineStr">
        <is>
          <t>各设施齐全完好，摆放整齐有序，使用功能正常，没有严重破损、陈旧问题，不得拆除投放口盖板支撑杆。（6分）</t>
        </is>
      </c>
      <c r="E222" t="inlineStr">
        <is>
          <t>-2</t>
        </is>
      </c>
      <c r="F222" s="5" t="inlineStr">
        <is>
          <t>（2）分类设施损坏或摆放不整齐(-2)（1处问题）</t>
        </is>
      </c>
      <c r="G222">
        <f>HYPERLINK("https://yueling-buddy.github.io/xxr-inspection-album/weeks/2026-09-03/venue/v-%E5%B9%BF%E4%B8%9C%E7%9C%81%E6%B7%B1%E5%9C%B3%E5%B8%82%E5%8D%97%E5%B1%B1%E5%8C%BA%E5%8D%97%E5%A4%B4%E8%A1%97%E9%81%93%E9%B8%BF%E6%B4%B2%E6%96%B0%E9%83%BD%E9%B8%BF%E6%B4%B2%E6%96%B0%E9%83%BD%E9%A6%96%E5%9F%8E_%E9%B8%BF%E6%B4%B2%E6%96%B0%E9%83%BD.html","查看证据")</f>
        <v/>
      </c>
    </row>
    <row r="223">
      <c r="A223" t="inlineStr">
        <is>
          <t>住宅小区</t>
        </is>
      </c>
      <c r="B223" t="inlineStr">
        <is>
          <t>鸿洲新都</t>
        </is>
      </c>
      <c r="C223" t="inlineStr">
        <is>
          <t>1.13</t>
        </is>
      </c>
      <c r="D223" s="5" t="inlineStr">
        <is>
          <t>收集容器外壁及内桶保持干净整洁，避免陈旧性脏污，收集容器内无积水。（4分）</t>
        </is>
      </c>
      <c r="E223" t="inlineStr">
        <is>
          <t>-2</t>
        </is>
      </c>
      <c r="F223" s="5" t="inlineStr">
        <is>
          <t>（2）收集容器外壁、内桶存在明显陈旧性脏污，大片锈迹等(-2)（1处问题）</t>
        </is>
      </c>
      <c r="G223">
        <f>HYPERLINK("https://yueling-buddy.github.io/xxr-inspection-album/weeks/2026-09-03/venue/v-%E5%B9%BF%E4%B8%9C%E7%9C%81%E6%B7%B1%E5%9C%B3%E5%B8%82%E5%8D%97%E5%B1%B1%E5%8C%BA%E5%8D%97%E5%A4%B4%E8%A1%97%E9%81%93%E9%B8%BF%E6%B4%B2%E6%96%B0%E9%83%BD%E9%B8%BF%E6%B4%B2%E6%96%B0%E9%83%BD%E9%A6%96%E5%9F%8E_%E9%B8%BF%E6%B4%B2%E6%96%B0%E9%83%BD.html","查看证据")</f>
        <v/>
      </c>
    </row>
    <row r="224">
      <c r="A224" t="inlineStr">
        <is>
          <t>住宅小区</t>
        </is>
      </c>
      <c r="B224" t="inlineStr">
        <is>
          <t>鸿洲新都</t>
        </is>
      </c>
      <c r="C224" t="inlineStr">
        <is>
          <t>1.14</t>
        </is>
      </c>
      <c r="D224" s="5" t="inlineStr">
        <is>
          <t>各类垃圾及时清运，投放点及其周围环境干净整洁，没有垃圾满溢、暴露垃圾、杂物堆放、严重积水或明显异味等问题。（6分）</t>
        </is>
      </c>
      <c r="E224" t="inlineStr">
        <is>
          <t>-2</t>
        </is>
      </c>
      <c r="F224" s="5" t="inlineStr">
        <is>
          <t>（3）环境卫生不整洁（投放点有暴露垃圾、杂物堆放，洗手池严重脏污，地面未硬底化，有明显污水污渍等）(-2)（1处问题）</t>
        </is>
      </c>
      <c r="G224">
        <f>HYPERLINK("https://yueling-buddy.github.io/xxr-inspection-album/weeks/2026-09-03/venue/v-%E5%B9%BF%E4%B8%9C%E7%9C%81%E6%B7%B1%E5%9C%B3%E5%B8%82%E5%8D%97%E5%B1%B1%E5%8C%BA%E5%8D%97%E5%A4%B4%E8%A1%97%E9%81%93%E9%B8%BF%E6%B4%B2%E6%96%B0%E9%83%BD%E9%B8%BF%E6%B4%B2%E6%96%B0%E9%83%BD%E9%A6%96%E5%9F%8E_%E9%B8%BF%E6%B4%B2%E6%96%B0%E9%83%BD.html","查看证据")</f>
        <v/>
      </c>
    </row>
    <row r="225">
      <c r="A225" t="inlineStr">
        <is>
          <t>住宅小区</t>
        </is>
      </c>
      <c r="B225" t="inlineStr">
        <is>
          <t>鸿洲新都</t>
        </is>
      </c>
      <c r="C225" t="inlineStr">
        <is>
          <t>1.17</t>
        </is>
      </c>
      <c r="D225" s="5" t="inlineStr">
        <is>
          <t>转运桶应在黄线划定区域内摆放整齐并保持全天关闭（作业状态除外），禁止罩外摆桶供居民投放。（6分）</t>
        </is>
      </c>
      <c r="E225" t="inlineStr">
        <is>
          <t>-2</t>
        </is>
      </c>
      <c r="F225" s="5" t="inlineStr">
        <is>
          <t>（3）监控范围外罩外摆桶并开盖供居民投放(-2)（1处问题）</t>
        </is>
      </c>
      <c r="G225">
        <f>HYPERLINK("https://yueling-buddy.github.io/xxr-inspection-album/weeks/2026-09-03/venue/v-%E5%B9%BF%E4%B8%9C%E7%9C%81%E6%B7%B1%E5%9C%B3%E5%B8%82%E5%8D%97%E5%B1%B1%E5%8C%BA%E5%8D%97%E5%A4%B4%E8%A1%97%E9%81%93%E9%B8%BF%E6%B4%B2%E6%96%B0%E9%83%BD%E9%B8%BF%E6%B4%B2%E6%96%B0%E9%83%BD%E9%A6%96%E5%9F%8E_%E9%B8%BF%E6%B4%B2%E6%96%B0%E9%83%BD.html","查看证据")</f>
        <v/>
      </c>
    </row>
    <row r="226">
      <c r="A226" t="inlineStr">
        <is>
          <t>住宅小区</t>
        </is>
      </c>
      <c r="B226" t="inlineStr">
        <is>
          <t>鸿洲新都</t>
        </is>
      </c>
      <c r="C226" t="inlineStr">
        <is>
          <t>2.1</t>
        </is>
      </c>
      <c r="D226" s="5" t="inlineStr">
        <is>
          <t>设置标识牌，外观使用“深i回收”标识，封闭围挡，地面硬底化。（2分）</t>
        </is>
      </c>
      <c r="E226" t="inlineStr">
        <is>
          <t>-2</t>
        </is>
      </c>
      <c r="F226" s="5" t="inlineStr">
        <is>
          <t>（5）其他问题说明（备注描述）(-2)（1处问题）</t>
        </is>
      </c>
      <c r="G226">
        <f>HYPERLINK("https://yueling-buddy.github.io/xxr-inspection-album/weeks/2026-09-03/venue/v-%E5%B9%BF%E4%B8%9C%E7%9C%81%E6%B7%B1%E5%9C%B3%E5%B8%82%E5%8D%97%E5%B1%B1%E5%8C%BA%E5%8D%97%E5%A4%B4%E8%A1%97%E9%81%93%E9%B8%BF%E6%B4%B2%E6%96%B0%E9%83%BD%E9%B8%BF%E6%B4%B2%E6%96%B0%E9%83%BD%E9%A6%96%E5%9F%8E_%E9%B8%BF%E6%B4%B2%E6%96%B0%E9%83%BD.html","查看证据")</f>
        <v/>
      </c>
    </row>
    <row r="227">
      <c r="A227" t="inlineStr">
        <is>
          <t>住宅小区</t>
        </is>
      </c>
      <c r="B227" t="inlineStr">
        <is>
          <t>嘉南美地</t>
        </is>
      </c>
      <c r="C227" t="inlineStr">
        <is>
          <t>1.8</t>
        </is>
      </c>
      <c r="D227" s="5" t="inlineStr">
        <is>
          <t>设置公示牌，清晰公示管理责任人和电话、专项垃圾暂存点和废旧织物回收箱位置、厨余垃圾投放时段、各类垃圾收运处理企业等信息。（4分）</t>
        </is>
      </c>
      <c r="E227" t="inlineStr">
        <is>
          <t>-2</t>
        </is>
      </c>
      <c r="F227" s="5" t="inlineStr">
        <is>
          <t>（3）公示牌设置不规范（公示牌脱落、内容缺失、错误或模糊等）(-2)（1处问题）</t>
        </is>
      </c>
      <c r="G227">
        <f>HYPERLINK("https://yueling-buddy.github.io/xxr-inspection-album/weeks/2026-09-03/venue/v-%E5%8D%97%E5%B1%B1%E5%8C%BA%E5%98%89%E5%8D%97%E7%BE%8E%E5%9C%B0_%E5%98%89%E5%8D%97%E7%BE%8E%E5%9C%B0.html","查看证据")</f>
        <v/>
      </c>
    </row>
    <row r="228">
      <c r="A228" t="inlineStr">
        <is>
          <t>住宅小区</t>
        </is>
      </c>
      <c r="B228" t="inlineStr">
        <is>
          <t>嘉南美地</t>
        </is>
      </c>
      <c r="C228" t="inlineStr">
        <is>
          <t>1.9</t>
        </is>
      </c>
      <c r="D228" s="5" t="inlineStr">
        <is>
          <t>各设施齐全完好，摆放整齐有序，使用功能正常，没有严重破损、陈旧问题，不得拆除投放口盖板支撑杆。（6分）</t>
        </is>
      </c>
      <c r="E228" t="inlineStr">
        <is>
          <t>-2</t>
        </is>
      </c>
      <c r="F228" s="5" t="inlineStr">
        <is>
          <t>（2）分类设施损坏或摆放不整齐(-2)（1处问题）</t>
        </is>
      </c>
      <c r="G228">
        <f>HYPERLINK("https://yueling-buddy.github.io/xxr-inspection-album/weeks/2026-09-03/venue/v-%E5%8D%97%E5%B1%B1%E5%8C%BA%E5%98%89%E5%8D%97%E7%BE%8E%E5%9C%B0_%E5%98%89%E5%8D%97%E7%BE%8E%E5%9C%B0.html","查看证据")</f>
        <v/>
      </c>
    </row>
    <row r="229">
      <c r="A229" t="inlineStr">
        <is>
          <t>住宅小区</t>
        </is>
      </c>
      <c r="B229" t="inlineStr">
        <is>
          <t>嘉南美地</t>
        </is>
      </c>
      <c r="C229" t="inlineStr">
        <is>
          <t>1.13</t>
        </is>
      </c>
      <c r="D229" s="5" t="inlineStr">
        <is>
          <t>收集容器外壁及内桶保持干净整洁，避免陈旧性脏污，收集容器内无积水。（4分）</t>
        </is>
      </c>
      <c r="E229" t="inlineStr">
        <is>
          <t>-2</t>
        </is>
      </c>
      <c r="F229" s="5" t="inlineStr">
        <is>
          <t>（2）收集容器外壁、内桶存在明显陈旧性脏污，大片锈迹等(-2)（1处问题）</t>
        </is>
      </c>
      <c r="G229">
        <f>HYPERLINK("https://yueling-buddy.github.io/xxr-inspection-album/weeks/2026-09-03/venue/v-%E5%8D%97%E5%B1%B1%E5%8C%BA%E5%98%89%E5%8D%97%E7%BE%8E%E5%9C%B0_%E5%98%89%E5%8D%97%E7%BE%8E%E5%9C%B0.html","查看证据")</f>
        <v/>
      </c>
    </row>
    <row r="230">
      <c r="A230" t="inlineStr">
        <is>
          <t>住宅小区</t>
        </is>
      </c>
      <c r="B230" t="inlineStr">
        <is>
          <t>嘉南美地</t>
        </is>
      </c>
      <c r="C230" t="inlineStr">
        <is>
          <t>1.17</t>
        </is>
      </c>
      <c r="D230" s="5" t="inlineStr">
        <is>
          <t>转运桶应在黄线划定区域内摆放整齐并保持全天关闭（作业状态除外），禁止罩外摆桶供居民投放。（6分）</t>
        </is>
      </c>
      <c r="E230" t="inlineStr">
        <is>
          <t>-4</t>
        </is>
      </c>
      <c r="F230" s="5" t="inlineStr">
        <is>
          <t>（3）监控范围外罩外摆桶并开盖供居民投放(-2)（2处问题）</t>
        </is>
      </c>
      <c r="G230">
        <f>HYPERLINK("https://yueling-buddy.github.io/xxr-inspection-album/weeks/2026-09-03/venue/v-%E5%8D%97%E5%B1%B1%E5%8C%BA%E5%98%89%E5%8D%97%E7%BE%8E%E5%9C%B0_%E5%98%89%E5%8D%97%E7%BE%8E%E5%9C%B0.html","查看证据")</f>
        <v/>
      </c>
    </row>
    <row r="231">
      <c r="A231" t="inlineStr">
        <is>
          <t>住宅小区</t>
        </is>
      </c>
      <c r="B231" t="inlineStr">
        <is>
          <t>嘉南美地</t>
        </is>
      </c>
      <c r="C231" t="inlineStr">
        <is>
          <t>2.1</t>
        </is>
      </c>
      <c r="D231" s="5" t="inlineStr">
        <is>
          <t>设置标识牌，外观使用“深i回收”标识，封闭围挡，地面硬底化。（2分）</t>
        </is>
      </c>
      <c r="E231" t="inlineStr">
        <is>
          <t>-2</t>
        </is>
      </c>
      <c r="F231" s="5" t="inlineStr">
        <is>
          <t>（3）无标识牌，或标识牌被遮挡、模糊/脱落/未更新等(-2)（1处问题）； （5）其他问题说明（备注描述）(-2)（1处问题）</t>
        </is>
      </c>
      <c r="G231">
        <f>HYPERLINK("https://yueling-buddy.github.io/xxr-inspection-album/weeks/2026-09-03/venue/v-%E5%8D%97%E5%B1%B1%E5%8C%BA%E5%98%89%E5%8D%97%E7%BE%8E%E5%9C%B0_%E5%98%89%E5%8D%97%E7%BE%8E%E5%9C%B0.html","查看证据")</f>
        <v/>
      </c>
    </row>
    <row r="232">
      <c r="A232" t="inlineStr">
        <is>
          <t>机关事业单位办公场所</t>
        </is>
      </c>
      <c r="B232" t="inlineStr">
        <is>
          <t>南约社区工作站</t>
        </is>
      </c>
      <c r="C232" t="inlineStr">
        <is>
          <t>1.5</t>
        </is>
      </c>
      <c r="D232" s="5" t="inlineStr">
        <is>
          <t>至少设置一处有害垃圾收集容器。（5分）</t>
        </is>
      </c>
      <c r="E232" t="inlineStr">
        <is>
          <t>5</t>
        </is>
      </c>
      <c r="F232" s="5" t="inlineStr">
        <is>
          <t>（2）收集容器缺失(5)（1处问题）</t>
        </is>
      </c>
      <c r="G232">
        <f>HYPERLINK("https://yueling-buddy.github.io/xxr-inspection-album/weeks/2026-09-03/venue/v-%E6%AF%94%E5%AE%9D%E4%BA%8C%E8%B7%AF83%E5%8F%B7_%E5%8D%97%E7%BA%A6%E7%A4%BE%E5%8C%BA%E5%B7%A5%E4%BD%9C%E7%AB%99.html","查看证据")</f>
        <v/>
      </c>
    </row>
    <row r="233">
      <c r="A233" t="inlineStr">
        <is>
          <t>住宅小区</t>
        </is>
      </c>
      <c r="B233" t="inlineStr">
        <is>
          <t>南山豪庭</t>
        </is>
      </c>
      <c r="C233" t="inlineStr">
        <is>
          <t>1.5</t>
        </is>
      </c>
      <c r="D233" s="5" t="inlineStr">
        <is>
          <t>分类标志完整、正确、清晰，各类垃圾收集容器外罩和内桶的颜色正确。（4分）</t>
        </is>
      </c>
      <c r="E233" t="inlineStr">
        <is>
          <t>-2</t>
        </is>
      </c>
      <c r="F233" s="5" t="inlineStr">
        <is>
          <t>（2）分类桶标志缺失或不规范（标志未更新、标志错误、标志模糊等）(-2)（1处问题）</t>
        </is>
      </c>
      <c r="G233">
        <f>HYPERLINK("https://yueling-buddy.github.io/xxr-inspection-album/weeks/2026-09-03/venue/v-%E5%B9%BF%E4%B8%9C%E7%9C%81%E6%B7%B1%E5%9C%B3%E5%B8%82%E5%8D%97%E5%B1%B1%E5%8C%BA_%E7%BA%A2%E8%8A%B1%E8%B7%AF136%E5%8F%B7_%E5%8D%97%E5%B1%B1%E8%B1%AA%E5%BA%AD.html","查看证据")</f>
        <v/>
      </c>
    </row>
    <row r="234">
      <c r="A234" t="inlineStr">
        <is>
          <t>住宅小区</t>
        </is>
      </c>
      <c r="B234" t="inlineStr">
        <is>
          <t>南山豪庭</t>
        </is>
      </c>
      <c r="C234" t="inlineStr">
        <is>
          <t>1.9</t>
        </is>
      </c>
      <c r="D234" s="5" t="inlineStr">
        <is>
          <t>各设施齐全完好，摆放整齐有序，使用功能正常，没有严重破损、陈旧问题，不得拆除投放口盖板支撑杆。（6分）</t>
        </is>
      </c>
      <c r="E234" t="inlineStr">
        <is>
          <t>-2</t>
        </is>
      </c>
      <c r="F234" s="5" t="inlineStr">
        <is>
          <t>（2）分类设施损坏或摆放不整齐(-2)（1处问题）</t>
        </is>
      </c>
      <c r="G234">
        <f>HYPERLINK("https://yueling-buddy.github.io/xxr-inspection-album/weeks/2026-09-03/venue/v-%E5%B9%BF%E4%B8%9C%E7%9C%81%E6%B7%B1%E5%9C%B3%E5%B8%82%E5%8D%97%E5%B1%B1%E5%8C%BA_%E7%BA%A2%E8%8A%B1%E8%B7%AF136%E5%8F%B7_%E5%8D%97%E5%B1%B1%E8%B1%AA%E5%BA%AD.html","查看证据")</f>
        <v/>
      </c>
    </row>
    <row r="235">
      <c r="A235" t="inlineStr">
        <is>
          <t>住宅小区</t>
        </is>
      </c>
      <c r="B235" t="inlineStr">
        <is>
          <t>南山豪庭</t>
        </is>
      </c>
      <c r="C235" t="inlineStr">
        <is>
          <t>1.17</t>
        </is>
      </c>
      <c r="D235" s="5" t="inlineStr">
        <is>
          <t>转运桶应在黄线划定区域内摆放整齐并保持全天关闭（作业状态除外），禁止罩外摆桶供居民投放。（6分）</t>
        </is>
      </c>
      <c r="E235" t="inlineStr">
        <is>
          <t>-2</t>
        </is>
      </c>
      <c r="F235" s="5" t="inlineStr">
        <is>
          <t>（3）监控范围外罩外摆桶并开盖供居民投放(-2)（1处问题）</t>
        </is>
      </c>
      <c r="G235">
        <f>HYPERLINK("https://yueling-buddy.github.io/xxr-inspection-album/weeks/2026-09-03/venue/v-%E5%B9%BF%E4%B8%9C%E7%9C%81%E6%B7%B1%E5%9C%B3%E5%B8%82%E5%8D%97%E5%B1%B1%E5%8C%BA_%E7%BA%A2%E8%8A%B1%E8%B7%AF136%E5%8F%B7_%E5%8D%97%E5%B1%B1%E8%B1%AA%E5%BA%AD.html","查看证据")</f>
        <v/>
      </c>
    </row>
    <row r="236">
      <c r="A236" t="inlineStr">
        <is>
          <t>住宅小区</t>
        </is>
      </c>
      <c r="B236" t="inlineStr">
        <is>
          <t>南山豪庭</t>
        </is>
      </c>
      <c r="C236" t="inlineStr">
        <is>
          <t>2.1</t>
        </is>
      </c>
      <c r="D236" s="5" t="inlineStr">
        <is>
          <t>设置标识牌，外观使用“深i回收”标识，封闭围挡，地面硬底化。（2分）</t>
        </is>
      </c>
      <c r="E236" t="inlineStr">
        <is>
          <t>-2</t>
        </is>
      </c>
      <c r="F236" s="5" t="inlineStr">
        <is>
          <t>（5）其他问题说明（备注描述）(-2)（1处问题）</t>
        </is>
      </c>
      <c r="G236">
        <f>HYPERLINK("https://yueling-buddy.github.io/xxr-inspection-album/weeks/2026-09-03/venue/v-%E5%B9%BF%E4%B8%9C%E7%9C%81%E6%B7%B1%E5%9C%B3%E5%B8%82%E5%8D%97%E5%B1%B1%E5%8C%BA_%E7%BA%A2%E8%8A%B1%E8%B7%AF136%E5%8F%B7_%E5%8D%97%E5%B1%B1%E8%B1%AA%E5%BA%AD.html","查看证据")</f>
        <v/>
      </c>
    </row>
    <row r="237">
      <c r="A237" t="inlineStr">
        <is>
          <t>住宅小区</t>
        </is>
      </c>
      <c r="B237" t="inlineStr">
        <is>
          <t>南山豪庭</t>
        </is>
      </c>
      <c r="C237" t="inlineStr">
        <is>
          <t>2.3</t>
        </is>
      </c>
      <c r="D237" s="5" t="inlineStr">
        <is>
          <t>各类垃圾及时清运。（2分）</t>
        </is>
      </c>
      <c r="E237" t="inlineStr">
        <is>
          <t>-2</t>
        </is>
      </c>
      <c r="F237" s="5" t="inlineStr">
        <is>
          <t>（2）暂存点内垃圾清运不及时(-2)（1处问题）</t>
        </is>
      </c>
      <c r="G237">
        <f>HYPERLINK("https://yueling-buddy.github.io/xxr-inspection-album/weeks/2026-09-03/venue/v-%E5%B9%BF%E4%B8%9C%E7%9C%81%E6%B7%B1%E5%9C%B3%E5%B8%82%E5%8D%97%E5%B1%B1%E5%8C%BA_%E7%BA%A2%E8%8A%B1%E8%B7%AF136%E5%8F%B7_%E5%8D%97%E5%B1%B1%E8%B1%AA%E5%BA%AD.html","查看证据")</f>
        <v/>
      </c>
    </row>
    <row r="238">
      <c r="A238" t="inlineStr">
        <is>
          <t>住宅小区</t>
        </is>
      </c>
      <c r="B238" t="inlineStr">
        <is>
          <t>南山豪庭</t>
        </is>
      </c>
      <c r="C238" t="inlineStr">
        <is>
          <t>2.4</t>
        </is>
      </c>
      <c r="D238" s="5" t="inlineStr">
        <is>
          <t>暂存点及其周围环境干净整洁，没有污水积聚或散落垃圾，禁止存放易燃易爆危险品，禁止违规接电、住人。（2分）</t>
        </is>
      </c>
      <c r="E238" t="inlineStr">
        <is>
          <t>-2</t>
        </is>
      </c>
      <c r="F238" s="5" t="inlineStr">
        <is>
          <t>（2）暂存点及周围环境不整洁（垃圾堆放杂乱、垃圾散落、地面污水积聚等）(-2)（1处问题）</t>
        </is>
      </c>
      <c r="G238">
        <f>HYPERLINK("https://yueling-buddy.github.io/xxr-inspection-album/weeks/2026-09-03/venue/v-%E5%B9%BF%E4%B8%9C%E7%9C%81%E6%B7%B1%E5%9C%B3%E5%B8%82%E5%8D%97%E5%B1%B1%E5%8C%BA_%E7%BA%A2%E8%8A%B1%E8%B7%AF136%E5%8F%B7_%E5%8D%97%E5%B1%B1%E8%B1%AA%E5%BA%AD.html","查看证据")</f>
        <v/>
      </c>
    </row>
    <row r="239">
      <c r="A239" t="inlineStr">
        <is>
          <t>住宅小区</t>
        </is>
      </c>
      <c r="B239" t="inlineStr">
        <is>
          <t>南山豪庭</t>
        </is>
      </c>
      <c r="C239" t="inlineStr">
        <is>
          <t>3.2</t>
        </is>
      </c>
      <c r="D239" s="5" t="inlineStr">
        <is>
          <t>暂存点及其周围环境干净整洁，各类桶整齐、密闭摆放，没有污水积聚或散落垃圾。（2分）</t>
        </is>
      </c>
      <c r="E239" t="inlineStr">
        <is>
          <t>-2</t>
        </is>
      </c>
      <c r="F239" s="5" t="inlineStr">
        <is>
          <t>（2）暂存点及周围环境不整洁（垃圾堆放杂乱、垃圾散落、地面污水积聚等）(-2)（1处问题）； （4）其他问题说明（备注描述）(-2)（1处问题）</t>
        </is>
      </c>
      <c r="G239">
        <f>HYPERLINK("https://yueling-buddy.github.io/xxr-inspection-album/weeks/2026-09-03/venue/v-%E5%B9%BF%E4%B8%9C%E7%9C%81%E6%B7%B1%E5%9C%B3%E5%B8%82%E5%8D%97%E5%B1%B1%E5%8C%BA_%E7%BA%A2%E8%8A%B1%E8%B7%AF136%E5%8F%B7_%E5%8D%97%E5%B1%B1%E8%B1%AA%E5%BA%AD.html","查看证据")</f>
        <v/>
      </c>
    </row>
    <row r="240">
      <c r="A240" t="inlineStr">
        <is>
          <t>城中村</t>
        </is>
      </c>
      <c r="B240" t="inlineStr">
        <is>
          <t>南约社区水一村</t>
        </is>
      </c>
      <c r="C240" t="inlineStr">
        <is>
          <t>1.14</t>
        </is>
      </c>
      <c r="D240" s="5" t="inlineStr">
        <is>
          <t>各类垃圾及时清运，投放点及其周围环境干净整洁，没有垃圾满溢、暴露垃圾、杂物堆放、严重积水或明显异味等问题。（6分）</t>
        </is>
      </c>
      <c r="E240" t="inlineStr">
        <is>
          <t>-2</t>
        </is>
      </c>
      <c r="F240" s="5" t="inlineStr">
        <is>
          <t>（3）环境卫生不整洁（投放点有暴露垃圾、杂物堆放，洗手池严重脏污，地面未硬底化，有明显污水污渍等）(-2)（1处问题）</t>
        </is>
      </c>
      <c r="G240">
        <f>HYPERLINK("https://yueling-buddy.github.io/xxr-inspection-album/weeks/2026-09-03/venue/v-%E6%B7%B1%E5%9C%B3%E5%B8%82%E9%BE%99%E5%B2%97%E5%8C%BA%E5%AE%9D%E9%BE%99%E8%A1%97%E9%81%93%E5%8D%97%E7%BA%A6%E7%A4%BE%E5%8C%BA%E6%B0%B4%E4%B8%80%E6%9D%9111%E5%8F%B7_%E5%8D%97%E7%BA%A6%E7%A4%BE%E5%8C%BA%E6%B0%B4%E4%B8%80%E6%9D%91.html","查看证据")</f>
        <v/>
      </c>
    </row>
    <row r="241">
      <c r="A241" t="inlineStr">
        <is>
          <t>城中村</t>
        </is>
      </c>
      <c r="B241" t="inlineStr">
        <is>
          <t>南约社区水二村</t>
        </is>
      </c>
      <c r="C241" t="inlineStr">
        <is>
          <t>1.6</t>
        </is>
      </c>
      <c r="D241" s="5" t="inlineStr">
        <is>
          <t>设置洗手设施。（2分）</t>
        </is>
      </c>
      <c r="E241" t="inlineStr">
        <is>
          <t>-1</t>
        </is>
      </c>
      <c r="F241" s="5" t="inlineStr">
        <is>
          <t>（3）洗手设施不规范（包括水龙头损坏或明显松动，水龙头不出水，洗手盆堵塞等）(-1)（1处问题）</t>
        </is>
      </c>
      <c r="G241">
        <f>HYPERLINK("https://yueling-buddy.github.io/xxr-inspection-album/weeks/2026-09-03/venue/v-%E6%B7%B1%E5%9C%B3%E5%B8%82%E9%BE%99%E5%B2%97%E5%8C%BA%E5%AE%9D%E9%BE%99%E8%A1%97%E9%81%93%E5%8D%97%E7%BA%A6%E7%A4%BE%E5%8C%BA%E6%B0%B4%E4%BA%8C%E6%9D%9113_4%E5%8F%B7_%E5%8D%97%E7%BA%A6%E7%A4%BE%E5%8C%BA%E6%B0%B4%E4%BA%8C%E6%9D%91.html","查看证据")</f>
        <v/>
      </c>
    </row>
    <row r="242">
      <c r="A242" t="inlineStr">
        <is>
          <t>住宅小区</t>
        </is>
      </c>
      <c r="B242" t="inlineStr">
        <is>
          <t>一甲海边新村</t>
        </is>
      </c>
      <c r="C242" t="inlineStr">
        <is>
          <t>1.6</t>
        </is>
      </c>
      <c r="D242" s="5" t="inlineStr">
        <is>
          <t>设置洗手设施。（2分）</t>
        </is>
      </c>
      <c r="E242" t="inlineStr">
        <is>
          <t>-1</t>
        </is>
      </c>
      <c r="F242" s="5" t="inlineStr">
        <is>
          <t>（3）洗手设施不规范（包括水龙头损坏或明显松动，水龙头不出水，洗手盆堵塞等）(-1)（1处问题）</t>
        </is>
      </c>
      <c r="G242">
        <f>HYPERLINK("https://yueling-buddy.github.io/xxr-inspection-album/weeks/2026-09-03/venue/v-%E5%8D%97%E5%B1%B1%E5%8C%BA%E4%B8%80%E7%94%B2%E6%B5%B7%E8%BE%B9%E6%96%B0%E6%9D%91_%E4%B8%80%E7%94%B2%E6%B5%B7%E8%BE%B9%E6%96%B0%E6%9D%91.html","查看证据")</f>
        <v/>
      </c>
    </row>
    <row r="243">
      <c r="A243" t="inlineStr">
        <is>
          <t>住宅小区</t>
        </is>
      </c>
      <c r="B243" t="inlineStr">
        <is>
          <t>一甲海边新村</t>
        </is>
      </c>
      <c r="C243" t="inlineStr">
        <is>
          <t>1.9</t>
        </is>
      </c>
      <c r="D243" s="5" t="inlineStr">
        <is>
          <t>各设施齐全完好，摆放整齐有序，使用功能正常，没有严重破损、陈旧问题，不得拆除投放口盖板支撑杆。（6分）</t>
        </is>
      </c>
      <c r="E243" t="inlineStr">
        <is>
          <t>-4</t>
        </is>
      </c>
      <c r="F243" s="5" t="inlineStr">
        <is>
          <t>（2）分类设施损坏或摆放不整齐(-2)（2处问题）</t>
        </is>
      </c>
      <c r="G243">
        <f>HYPERLINK("https://yueling-buddy.github.io/xxr-inspection-album/weeks/2026-09-03/venue/v-%E5%8D%97%E5%B1%B1%E5%8C%BA%E4%B8%80%E7%94%B2%E6%B5%B7%E8%BE%B9%E6%96%B0%E6%9D%91_%E4%B8%80%E7%94%B2%E6%B5%B7%E8%BE%B9%E6%96%B0%E6%9D%91.html","查看证据")</f>
        <v/>
      </c>
    </row>
    <row r="244">
      <c r="A244" t="inlineStr">
        <is>
          <t>住宅小区</t>
        </is>
      </c>
      <c r="B244" t="inlineStr">
        <is>
          <t>一甲海边新村</t>
        </is>
      </c>
      <c r="C244" t="inlineStr">
        <is>
          <t>1.17</t>
        </is>
      </c>
      <c r="D244" s="5" t="inlineStr">
        <is>
          <t>转运桶应在黄线划定区域内摆放整齐并保持全天关闭（作业状态除外），禁止罩外摆桶供居民投放。（6分）</t>
        </is>
      </c>
      <c r="E244" t="inlineStr">
        <is>
          <t>-4</t>
        </is>
      </c>
      <c r="F244" s="5" t="inlineStr">
        <is>
          <t>（3）监控范围外罩外摆桶并开盖供居民投放(-2)（2处问题）</t>
        </is>
      </c>
      <c r="G244">
        <f>HYPERLINK("https://yueling-buddy.github.io/xxr-inspection-album/weeks/2026-09-03/venue/v-%E5%8D%97%E5%B1%B1%E5%8C%BA%E4%B8%80%E7%94%B2%E6%B5%B7%E8%BE%B9%E6%96%B0%E6%9D%91_%E4%B8%80%E7%94%B2%E6%B5%B7%E8%BE%B9%E6%96%B0%E6%9D%91.html","查看证据")</f>
        <v/>
      </c>
    </row>
    <row r="245">
      <c r="A245" t="inlineStr">
        <is>
          <t>住宅小区</t>
        </is>
      </c>
      <c r="B245" t="inlineStr">
        <is>
          <t>一甲海边新村</t>
        </is>
      </c>
      <c r="C245" t="inlineStr">
        <is>
          <t>1.18</t>
        </is>
      </c>
      <c r="D245" s="5" t="inlineStr">
        <is>
          <t>禁止在楼层、地面或车库等设置分散式垃圾收集容器。（4分）</t>
        </is>
      </c>
      <c r="E245" t="inlineStr">
        <is>
          <t>-4</t>
        </is>
      </c>
      <c r="F245" s="5" t="inlineStr">
        <is>
          <t>（2）设置分散式垃圾收集容器（随意摆桶未划黄线）(-4)（1处问题）</t>
        </is>
      </c>
      <c r="G245">
        <f>HYPERLINK("https://yueling-buddy.github.io/xxr-inspection-album/weeks/2026-09-03/venue/v-%E5%8D%97%E5%B1%B1%E5%8C%BA%E4%B8%80%E7%94%B2%E6%B5%B7%E8%BE%B9%E6%96%B0%E6%9D%91_%E4%B8%80%E7%94%B2%E6%B5%B7%E8%BE%B9%E6%96%B0%E6%9D%91.html","查看证据")</f>
        <v/>
      </c>
    </row>
    <row r="246">
      <c r="A246" t="inlineStr">
        <is>
          <t>住宅小区</t>
        </is>
      </c>
      <c r="B246" t="inlineStr">
        <is>
          <t>恒运豪庭</t>
        </is>
      </c>
      <c r="C246" t="inlineStr">
        <is>
          <t>1.5</t>
        </is>
      </c>
      <c r="D246" s="5" t="inlineStr">
        <is>
          <t>分类标志完整、正确、清晰，各类垃圾收集容器外罩和内桶的颜色正确。（4分）</t>
        </is>
      </c>
      <c r="E246" t="inlineStr">
        <is>
          <t>-2</t>
        </is>
      </c>
      <c r="F246" s="5" t="inlineStr">
        <is>
          <t>（3）外罩和内桶颜色不正确;（不强制要求垃圾桶套袋，若套袋的，收集容器应按垃圾类别对应颜色套袋）(-2)（1处问题）</t>
        </is>
      </c>
      <c r="G246">
        <f>HYPERLINK("https://yueling-buddy.github.io/xxr-inspection-album/weeks/2026-09-03/venue/v-%E7%A6%8F%E7%94%B0%E5%8C%BA%E7%A6%8F%E5%8D%8E%E4%B8%89%E8%B7%AF8%E5%8F%B7_%E5%B2%97%E5%8E%A6%E5%9C%B0%E9%93%81%E7%AB%99D%E5%8F%A3%E6%AD%A5%E8%A1%8C290%E7%B1%B3_%E6%81%92%E8%BF%90%E8%B1%AA%E5%BA%AD.html","查看证据")</f>
        <v/>
      </c>
    </row>
    <row r="247">
      <c r="A247" t="inlineStr">
        <is>
          <t>住宅小区</t>
        </is>
      </c>
      <c r="B247" t="inlineStr">
        <is>
          <t>恒运豪庭</t>
        </is>
      </c>
      <c r="C247" t="inlineStr">
        <is>
          <t>1.8</t>
        </is>
      </c>
      <c r="D247" s="5" t="inlineStr">
        <is>
          <t>设置公示牌，清晰公示管理责任人和电话、专项垃圾暂存点和废旧织物回收箱位置、厨余垃圾投放时段、各类垃圾收运处理企业等信息。（4分）</t>
        </is>
      </c>
      <c r="E247" t="inlineStr">
        <is>
          <t>-4</t>
        </is>
      </c>
      <c r="F247" s="5" t="inlineStr">
        <is>
          <t>（3）公示牌设置不规范（公示牌脱落、内容缺失、错误或模糊等）(-2)（2处问题）</t>
        </is>
      </c>
      <c r="G247">
        <f>HYPERLINK("https://yueling-buddy.github.io/xxr-inspection-album/weeks/2026-09-03/venue/v-%E7%A6%8F%E7%94%B0%E5%8C%BA%E7%A6%8F%E5%8D%8E%E4%B8%89%E8%B7%AF8%E5%8F%B7_%E5%B2%97%E5%8E%A6%E5%9C%B0%E9%93%81%E7%AB%99D%E5%8F%A3%E6%AD%A5%E8%A1%8C290%E7%B1%B3_%E6%81%92%E8%BF%90%E8%B1%AA%E5%BA%AD.html","查看证据")</f>
        <v/>
      </c>
    </row>
    <row r="248">
      <c r="A248" t="inlineStr">
        <is>
          <t>住宅小区</t>
        </is>
      </c>
      <c r="B248" t="inlineStr">
        <is>
          <t>恒运豪庭</t>
        </is>
      </c>
      <c r="C248" t="inlineStr">
        <is>
          <t>1.17</t>
        </is>
      </c>
      <c r="D248" s="5" t="inlineStr">
        <is>
          <t>转运桶应在黄线划定区域内摆放整齐并保持全天关闭（作业状态除外），禁止罩外摆桶供居民投放。（6分）</t>
        </is>
      </c>
      <c r="E248" t="inlineStr">
        <is>
          <t>-2</t>
        </is>
      </c>
      <c r="F248" s="5" t="inlineStr">
        <is>
          <t>（3）监控范围外罩外摆桶并开盖供居民投放(-2)（1处问题）</t>
        </is>
      </c>
      <c r="G248">
        <f>HYPERLINK("https://yueling-buddy.github.io/xxr-inspection-album/weeks/2026-09-03/venue/v-%E7%A6%8F%E7%94%B0%E5%8C%BA%E7%A6%8F%E5%8D%8E%E4%B8%89%E8%B7%AF8%E5%8F%B7_%E5%B2%97%E5%8E%A6%E5%9C%B0%E9%93%81%E7%AB%99D%E5%8F%A3%E6%AD%A5%E8%A1%8C290%E7%B1%B3_%E6%81%92%E8%BF%90%E8%B1%AA%E5%BA%AD.html","查看证据")</f>
        <v/>
      </c>
    </row>
    <row r="249">
      <c r="A249" t="inlineStr">
        <is>
          <t>住宅小区</t>
        </is>
      </c>
      <c r="B249" t="inlineStr">
        <is>
          <t>恒运豪庭</t>
        </is>
      </c>
      <c r="C249" t="inlineStr">
        <is>
          <t>2.1</t>
        </is>
      </c>
      <c r="D249" s="5" t="inlineStr">
        <is>
          <t>设置标识牌，外观使用“深i回收”标识，封闭围挡，地面硬底化。（2分）</t>
        </is>
      </c>
      <c r="E249" t="inlineStr">
        <is>
          <t>-2</t>
        </is>
      </c>
      <c r="F249" s="5" t="inlineStr">
        <is>
          <t>（5）其他问题说明（备注描述）(-2)（1处问题）</t>
        </is>
      </c>
      <c r="G249">
        <f>HYPERLINK("https://yueling-buddy.github.io/xxr-inspection-album/weeks/2026-09-03/venue/v-%E7%A6%8F%E7%94%B0%E5%8C%BA%E7%A6%8F%E5%8D%8E%E4%B8%89%E8%B7%AF8%E5%8F%B7_%E5%B2%97%E5%8E%A6%E5%9C%B0%E9%93%81%E7%AB%99D%E5%8F%A3%E6%AD%A5%E8%A1%8C290%E7%B1%B3_%E6%81%92%E8%BF%90%E8%B1%AA%E5%BA%AD.html","查看证据")</f>
        <v/>
      </c>
    </row>
    <row r="250">
      <c r="A250" t="inlineStr">
        <is>
          <t>住宅小区</t>
        </is>
      </c>
      <c r="B250" t="inlineStr">
        <is>
          <t>金田新村</t>
        </is>
      </c>
      <c r="C250" t="inlineStr">
        <is>
          <t>1.6</t>
        </is>
      </c>
      <c r="D250" s="5" t="inlineStr">
        <is>
          <t>设置洗手设施。（2分）</t>
        </is>
      </c>
      <c r="E250" t="inlineStr">
        <is>
          <t>-1</t>
        </is>
      </c>
      <c r="F250" s="5" t="inlineStr">
        <is>
          <t>（4）其他问题说明（备注描述）(-1)（1处问题）</t>
        </is>
      </c>
      <c r="G250">
        <f>HYPERLINK("https://yueling-buddy.github.io/xxr-inspection-album/weeks/2026-09-03/venue/v-%E5%B9%BF%E4%B8%9C%E7%9C%81%E6%B7%B1%E5%9C%B3%E5%B8%82%E7%A6%8F%E7%94%B0%E5%8C%BA_%E7%A6%8F%E5%8D%8E3%E8%B7%AF_%E5%B2%97%E5%8E%A6%E5%9C%B0%E9%93%81%E7%AB%99D%E5%8F%A3%E6%AD%A5%E8%A1%8C370%E7%B1%B3_%E9%87%91%E7%94%B0%E6%96%B0%E6%9D%91.html","查看证据")</f>
        <v/>
      </c>
    </row>
    <row r="251">
      <c r="A251" t="inlineStr">
        <is>
          <t>住宅小区</t>
        </is>
      </c>
      <c r="B251" t="inlineStr">
        <is>
          <t>金田新村</t>
        </is>
      </c>
      <c r="C251" t="inlineStr">
        <is>
          <t>1.14</t>
        </is>
      </c>
      <c r="D251" s="5" t="inlineStr">
        <is>
          <t>各类垃圾及时清运，投放点及其周围环境干净整洁，没有垃圾满溢、暴露垃圾、杂物堆放、严重积水或明显异味等问题。（6分）</t>
        </is>
      </c>
      <c r="E251" t="inlineStr">
        <is>
          <t>-2</t>
        </is>
      </c>
      <c r="F251" s="5" t="inlineStr">
        <is>
          <t>（2）垃圾收集容器满溢、未及时清运(-2)（1处问题）</t>
        </is>
      </c>
      <c r="G251">
        <f>HYPERLINK("https://yueling-buddy.github.io/xxr-inspection-album/weeks/2026-09-03/venue/v-%E5%B9%BF%E4%B8%9C%E7%9C%81%E6%B7%B1%E5%9C%B3%E5%B8%82%E7%A6%8F%E7%94%B0%E5%8C%BA_%E7%A6%8F%E5%8D%8E3%E8%B7%AF_%E5%B2%97%E5%8E%A6%E5%9C%B0%E9%93%81%E7%AB%99D%E5%8F%A3%E6%AD%A5%E8%A1%8C370%E7%B1%B3_%E9%87%91%E7%94%B0%E6%96%B0%E6%9D%91.html","查看证据")</f>
        <v/>
      </c>
    </row>
    <row r="252">
      <c r="A252" t="inlineStr">
        <is>
          <t>住宅小区</t>
        </is>
      </c>
      <c r="B252" t="inlineStr">
        <is>
          <t>金田新村</t>
        </is>
      </c>
      <c r="C252" t="inlineStr">
        <is>
          <t>1.16</t>
        </is>
      </c>
      <c r="D252" s="5" t="inlineStr">
        <is>
          <t>禁止通过捆绑、卡挡或上锁等方式封闭或遮挡投放口。（4分）</t>
        </is>
      </c>
      <c r="E252" t="inlineStr">
        <is>
          <t>-2</t>
        </is>
      </c>
      <c r="F252" s="5" t="inlineStr">
        <is>
          <t>（2）投放口被封闭或遮挡(-2)（1处问题）</t>
        </is>
      </c>
      <c r="G252">
        <f>HYPERLINK("https://yueling-buddy.github.io/xxr-inspection-album/weeks/2026-09-03/venue/v-%E5%B9%BF%E4%B8%9C%E7%9C%81%E6%B7%B1%E5%9C%B3%E5%B8%82%E7%A6%8F%E7%94%B0%E5%8C%BA_%E7%A6%8F%E5%8D%8E3%E8%B7%AF_%E5%B2%97%E5%8E%A6%E5%9C%B0%E9%93%81%E7%AB%99D%E5%8F%A3%E6%AD%A5%E8%A1%8C370%E7%B1%B3_%E9%87%91%E7%94%B0%E6%96%B0%E6%9D%91.html","查看证据")</f>
        <v/>
      </c>
    </row>
    <row r="253">
      <c r="A253" t="inlineStr">
        <is>
          <t>住宅小区</t>
        </is>
      </c>
      <c r="B253" t="inlineStr">
        <is>
          <t>金田新村</t>
        </is>
      </c>
      <c r="C253" t="inlineStr">
        <is>
          <t>1.17</t>
        </is>
      </c>
      <c r="D253" s="5" t="inlineStr">
        <is>
          <t>转运桶应在黄线划定区域内摆放整齐并保持全天关闭（作业状态除外），禁止罩外摆桶供居民投放。（6分）</t>
        </is>
      </c>
      <c r="E253" t="inlineStr">
        <is>
          <t>-2</t>
        </is>
      </c>
      <c r="F253" s="5" t="inlineStr">
        <is>
          <t>（3）监控范围外罩外摆桶并开盖供居民投放(-2)（1处问题）</t>
        </is>
      </c>
      <c r="G253">
        <f>HYPERLINK("https://yueling-buddy.github.io/xxr-inspection-album/weeks/2026-09-03/venue/v-%E5%B9%BF%E4%B8%9C%E7%9C%81%E6%B7%B1%E5%9C%B3%E5%B8%82%E7%A6%8F%E7%94%B0%E5%8C%BA_%E7%A6%8F%E5%8D%8E3%E8%B7%AF_%E5%B2%97%E5%8E%A6%E5%9C%B0%E9%93%81%E7%AB%99D%E5%8F%A3%E6%AD%A5%E8%A1%8C370%E7%B1%B3_%E9%87%91%E7%94%B0%E6%96%B0%E6%9D%91.html","查看证据")</f>
        <v/>
      </c>
    </row>
    <row r="254">
      <c r="A254" t="inlineStr">
        <is>
          <t>住宅小区</t>
        </is>
      </c>
      <c r="B254" t="inlineStr">
        <is>
          <t>岗厦城</t>
        </is>
      </c>
      <c r="C254" t="inlineStr">
        <is>
          <t>1.5</t>
        </is>
      </c>
      <c r="D254" s="5" t="inlineStr">
        <is>
          <t>分类标志完整、正确、清晰，各类垃圾收集容器外罩和内桶的颜色正确。（4分）</t>
        </is>
      </c>
      <c r="E254" t="inlineStr">
        <is>
          <t>-2</t>
        </is>
      </c>
      <c r="F254" s="5" t="inlineStr">
        <is>
          <t>（3）外罩和内桶颜色不正确;（不强制要求垃圾桶套袋，若套袋的，收集容器应按垃圾类别对应颜色套袋）(-2)（1处问题）</t>
        </is>
      </c>
      <c r="G254">
        <f>HYPERLINK("https://yueling-buddy.github.io/xxr-inspection-album/weeks/2026-09-03/venue/v-%E6%B7%B1%E5%9C%B3%E5%B8%82%E7%A6%8F%E7%94%B0%E5%8C%BA%E7%A6%8F%E7%94%B0%E8%A1%97%E9%81%93%E5%BD%A9%E7%94%B0%E8%B7%AF%E5%92%8C%E7%A6%8F%E5%8D%8E%E8%B7%AF%E4%BA%A4%E6%B1%87%E5%A4%84_%E5%BD%A9%E7%A6%8F%E5%A4%A7%E5%8E%A6%E9%99%84%E8%BF%91_%E5%B2%97%E5%8E%A6%E5%9F%8E.html","查看证据")</f>
        <v/>
      </c>
    </row>
    <row r="255">
      <c r="A255" t="inlineStr">
        <is>
          <t>住宅小区</t>
        </is>
      </c>
      <c r="B255" t="inlineStr">
        <is>
          <t>岗厦城</t>
        </is>
      </c>
      <c r="C255" t="inlineStr">
        <is>
          <t>1.9</t>
        </is>
      </c>
      <c r="D255" s="5" t="inlineStr">
        <is>
          <t>各设施齐全完好，摆放整齐有序，使用功能正常，没有严重破损、陈旧问题，不得拆除投放口盖板支撑杆。（6分）</t>
        </is>
      </c>
      <c r="E255" t="inlineStr">
        <is>
          <t>-4</t>
        </is>
      </c>
      <c r="F255" s="5" t="inlineStr">
        <is>
          <t>（3）内桶错放导致桶盖无法正常打开，未放置垃圾内桶等影响正常使用(-2)（2处问题）</t>
        </is>
      </c>
      <c r="G255">
        <f>HYPERLINK("https://yueling-buddy.github.io/xxr-inspection-album/weeks/2026-09-03/venue/v-%E6%B7%B1%E5%9C%B3%E5%B8%82%E7%A6%8F%E7%94%B0%E5%8C%BA%E7%A6%8F%E7%94%B0%E8%A1%97%E9%81%93%E5%BD%A9%E7%94%B0%E8%B7%AF%E5%92%8C%E7%A6%8F%E5%8D%8E%E8%B7%AF%E4%BA%A4%E6%B1%87%E5%A4%84_%E5%BD%A9%E7%A6%8F%E5%A4%A7%E5%8E%A6%E9%99%84%E8%BF%91_%E5%B2%97%E5%8E%A6%E5%9F%8E.html","查看证据")</f>
        <v/>
      </c>
    </row>
    <row r="256">
      <c r="A256" t="inlineStr">
        <is>
          <t>住宅小区</t>
        </is>
      </c>
      <c r="B256" t="inlineStr">
        <is>
          <t>岗厦城</t>
        </is>
      </c>
      <c r="C256" t="inlineStr">
        <is>
          <t>1.16</t>
        </is>
      </c>
      <c r="D256" s="5" t="inlineStr">
        <is>
          <t>禁止通过捆绑、卡挡或上锁等方式封闭或遮挡投放口。（4分）</t>
        </is>
      </c>
      <c r="E256" t="inlineStr">
        <is>
          <t>-4</t>
        </is>
      </c>
      <c r="F256" s="5" t="inlineStr">
        <is>
          <t>（3）内桶未开盖(-2)（1处问题）； （4）误时投放点未开放(-2)（1处问题）</t>
        </is>
      </c>
      <c r="G256">
        <f>HYPERLINK("https://yueling-buddy.github.io/xxr-inspection-album/weeks/2026-09-03/venue/v-%E6%B7%B1%E5%9C%B3%E5%B8%82%E7%A6%8F%E7%94%B0%E5%8C%BA%E7%A6%8F%E7%94%B0%E8%A1%97%E9%81%93%E5%BD%A9%E7%94%B0%E8%B7%AF%E5%92%8C%E7%A6%8F%E5%8D%8E%E8%B7%AF%E4%BA%A4%E6%B1%87%E5%A4%84_%E5%BD%A9%E7%A6%8F%E5%A4%A7%E5%8E%A6%E9%99%84%E8%BF%91_%E5%B2%97%E5%8E%A6%E5%9F%8E.html","查看证据")</f>
        <v/>
      </c>
    </row>
    <row r="257">
      <c r="A257" t="inlineStr">
        <is>
          <t>住宅小区</t>
        </is>
      </c>
      <c r="B257" t="inlineStr">
        <is>
          <t>岗厦城</t>
        </is>
      </c>
      <c r="C257" t="inlineStr">
        <is>
          <t>1.17</t>
        </is>
      </c>
      <c r="D257" s="5" t="inlineStr">
        <is>
          <t>转运桶应在黄线划定区域内摆放整齐并保持全天关闭（作业状态除外），禁止罩外摆桶供居民投放。（6分）</t>
        </is>
      </c>
      <c r="E257" t="inlineStr">
        <is>
          <t>-2</t>
        </is>
      </c>
      <c r="F257" s="5" t="inlineStr">
        <is>
          <t>（3）监控范围外罩外摆桶并开盖供居民投放(-2)（1处问题）</t>
        </is>
      </c>
      <c r="G257">
        <f>HYPERLINK("https://yueling-buddy.github.io/xxr-inspection-album/weeks/2026-09-03/venue/v-%E6%B7%B1%E5%9C%B3%E5%B8%82%E7%A6%8F%E7%94%B0%E5%8C%BA%E7%A6%8F%E7%94%B0%E8%A1%97%E9%81%93%E5%BD%A9%E7%94%B0%E8%B7%AF%E5%92%8C%E7%A6%8F%E5%8D%8E%E8%B7%AF%E4%BA%A4%E6%B1%87%E5%A4%84_%E5%BD%A9%E7%A6%8F%E5%A4%A7%E5%8E%A6%E9%99%84%E8%BF%91_%E5%B2%97%E5%8E%A6%E5%9F%8E.html","查看证据")</f>
        <v/>
      </c>
    </row>
    <row r="258">
      <c r="A258" t="inlineStr">
        <is>
          <t>住宅小区</t>
        </is>
      </c>
      <c r="B258" t="inlineStr">
        <is>
          <t>岗厦城</t>
        </is>
      </c>
      <c r="C258" t="inlineStr">
        <is>
          <t>2.1</t>
        </is>
      </c>
      <c r="D258" s="5" t="inlineStr">
        <is>
          <t>设置标识牌，外观使用“深i回收”标识，封闭围挡，地面硬底化。（2分）</t>
        </is>
      </c>
      <c r="E258" t="inlineStr">
        <is>
          <t>-2</t>
        </is>
      </c>
      <c r="F258" s="5" t="inlineStr">
        <is>
          <t>（5）其他问题说明（备注描述）(-2)（1处问题）</t>
        </is>
      </c>
      <c r="G258">
        <f>HYPERLINK("https://yueling-buddy.github.io/xxr-inspection-album/weeks/2026-09-03/venue/v-%E6%B7%B1%E5%9C%B3%E5%B8%82%E7%A6%8F%E7%94%B0%E5%8C%BA%E7%A6%8F%E7%94%B0%E8%A1%97%E9%81%93%E5%BD%A9%E7%94%B0%E8%B7%AF%E5%92%8C%E7%A6%8F%E5%8D%8E%E8%B7%AF%E4%BA%A4%E6%B1%87%E5%A4%84_%E5%BD%A9%E7%A6%8F%E5%A4%A7%E5%8E%A6%E9%99%84%E8%BF%91_%E5%B2%97%E5%8E%A6%E5%9F%8E.html","查看证据")</f>
        <v/>
      </c>
    </row>
    <row r="259">
      <c r="A259" t="inlineStr">
        <is>
          <t>住宅小区</t>
        </is>
      </c>
      <c r="B259" t="inlineStr">
        <is>
          <t>岗厦城</t>
        </is>
      </c>
      <c r="C259" t="inlineStr">
        <is>
          <t>2.4</t>
        </is>
      </c>
      <c r="D259" s="5" t="inlineStr">
        <is>
          <t>暂存点及其周围环境干净整洁，没有污水积聚或散落垃圾，禁止存放易燃易爆危险品，禁止违规接电、住人。（2分）</t>
        </is>
      </c>
      <c r="E259" t="inlineStr">
        <is>
          <t>-2</t>
        </is>
      </c>
      <c r="F259" s="5" t="inlineStr">
        <is>
          <t>（2）暂存点及周围环境不整洁（垃圾堆放杂乱、垃圾散落、地面污水积聚等）(-2)（1处问题）</t>
        </is>
      </c>
      <c r="G259">
        <f>HYPERLINK("https://yueling-buddy.github.io/xxr-inspection-album/weeks/2026-09-03/venue/v-%E6%B7%B1%E5%9C%B3%E5%B8%82%E7%A6%8F%E7%94%B0%E5%8C%BA%E7%A6%8F%E7%94%B0%E8%A1%97%E9%81%93%E5%BD%A9%E7%94%B0%E8%B7%AF%E5%92%8C%E7%A6%8F%E5%8D%8E%E8%B7%AF%E4%BA%A4%E6%B1%87%E5%A4%84_%E5%BD%A9%E7%A6%8F%E5%A4%A7%E5%8E%A6%E9%99%84%E8%BF%91_%E5%B2%97%E5%8E%A6%E5%9F%8E.html","查看证据")</f>
        <v/>
      </c>
    </row>
    <row r="260">
      <c r="A260" t="inlineStr">
        <is>
          <t>住宅小区</t>
        </is>
      </c>
      <c r="B260" t="inlineStr">
        <is>
          <t>星河世纪大厦</t>
        </is>
      </c>
      <c r="C260" t="inlineStr">
        <is>
          <t>1.16</t>
        </is>
      </c>
      <c r="D260" s="5" t="inlineStr">
        <is>
          <t>禁止通过捆绑、卡挡或上锁等方式封闭或遮挡投放口。（4分）</t>
        </is>
      </c>
      <c r="E260" t="inlineStr">
        <is>
          <t>-2</t>
        </is>
      </c>
      <c r="F260" s="5" t="inlineStr">
        <is>
          <t>（4）误时投放点未开放(-2)（1处问题）</t>
        </is>
      </c>
      <c r="G260">
        <f>HYPERLINK("https://yueling-buddy.github.io/xxr-inspection-album/weeks/2026-09-03/venue/v-%E7%A6%8F%E7%94%B0%E5%8C%BA%E7%A6%8F%E7%94%B0%E8%A1%97%E9%81%93%E5%B2%97%E5%8E%A6%E7%A4%BE%E5%8C%BA%E6%98%9F%E6%B2%B3%E4%B8%96%E7%BA%AA%E5%A4%A7%E5%8E%A6_%E6%98%9F%E6%B2%B3%E4%B8%96%E7%BA%AA%E5%A4%A7%E5%8E%A6.html","查看证据")</f>
        <v/>
      </c>
    </row>
    <row r="261">
      <c r="A261" t="inlineStr">
        <is>
          <t>住宅小区</t>
        </is>
      </c>
      <c r="B261" t="inlineStr">
        <is>
          <t>星河世纪大厦</t>
        </is>
      </c>
      <c r="C261" t="inlineStr">
        <is>
          <t>2.3</t>
        </is>
      </c>
      <c r="D261" s="5" t="inlineStr">
        <is>
          <t>各类垃圾及时清运。（2分）</t>
        </is>
      </c>
      <c r="E261" t="inlineStr">
        <is>
          <t>-2</t>
        </is>
      </c>
      <c r="F261" s="5" t="inlineStr">
        <is>
          <t>（2）暂存点内垃圾清运不及时(-2)（1处问题）</t>
        </is>
      </c>
      <c r="G261">
        <f>HYPERLINK("https://yueling-buddy.github.io/xxr-inspection-album/weeks/2026-09-03/venue/v-%E7%A6%8F%E7%94%B0%E5%8C%BA%E7%A6%8F%E7%94%B0%E8%A1%97%E9%81%93%E5%B2%97%E5%8E%A6%E7%A4%BE%E5%8C%BA%E6%98%9F%E6%B2%B3%E4%B8%96%E7%BA%AA%E5%A4%A7%E5%8E%A6_%E6%98%9F%E6%B2%B3%E4%B8%96%E7%BA%AA%E5%A4%A7%E5%8E%A6.html","查看证据")</f>
        <v/>
      </c>
    </row>
    <row r="262">
      <c r="A262" t="inlineStr">
        <is>
          <t>住宅小区</t>
        </is>
      </c>
      <c r="B262" t="inlineStr">
        <is>
          <t>星河世纪大厦</t>
        </is>
      </c>
      <c r="C262" t="inlineStr">
        <is>
          <t>2.4</t>
        </is>
      </c>
      <c r="D262" s="5" t="inlineStr">
        <is>
          <t>暂存点及其周围环境干净整洁，没有污水积聚或散落垃圾，禁止存放易燃易爆危险品，禁止违规接电、住人。（2分）</t>
        </is>
      </c>
      <c r="E262" t="inlineStr">
        <is>
          <t>-2</t>
        </is>
      </c>
      <c r="F262" s="5" t="inlineStr">
        <is>
          <t>（2）暂存点及周围环境不整洁（垃圾堆放杂乱、垃圾散落、地面污水积聚等）(-2)（1处问题）</t>
        </is>
      </c>
      <c r="G262">
        <f>HYPERLINK("https://yueling-buddy.github.io/xxr-inspection-album/weeks/2026-09-03/venue/v-%E7%A6%8F%E7%94%B0%E5%8C%BA%E7%A6%8F%E7%94%B0%E8%A1%97%E9%81%93%E5%B2%97%E5%8E%A6%E7%A4%BE%E5%8C%BA%E6%98%9F%E6%B2%B3%E4%B8%96%E7%BA%AA%E5%A4%A7%E5%8E%A6_%E6%98%9F%E6%B2%B3%E4%B8%96%E7%BA%AA%E5%A4%A7%E5%8E%A6.html","查看证据")</f>
        <v/>
      </c>
    </row>
    <row r="263">
      <c r="A263" t="inlineStr">
        <is>
          <t>住宅小区</t>
        </is>
      </c>
      <c r="B263" t="inlineStr">
        <is>
          <t>深圳中心天元公寓</t>
        </is>
      </c>
      <c r="C263" t="inlineStr">
        <is>
          <t>1.5</t>
        </is>
      </c>
      <c r="D263" s="5" t="inlineStr">
        <is>
          <t>分类标志完整、正确、清晰，各类垃圾收集容器外罩和内桶的颜色正确。（4分）</t>
        </is>
      </c>
      <c r="E263" t="inlineStr">
        <is>
          <t>-2</t>
        </is>
      </c>
      <c r="F263" s="5" t="inlineStr">
        <is>
          <t>（3）外罩和内桶颜色不正确;（不强制要求垃圾桶套袋，若套袋的，收集容器应按垃圾类别对应颜色套袋）(-2)（1处问题）</t>
        </is>
      </c>
      <c r="G263">
        <f>HYPERLINK("https://yueling-buddy.github.io/xxr-inspection-album/weeks/2026-09-03/venue/v-%E7%A6%8F%E7%94%B0%E5%8C%BA%E7%A6%8F%E7%94%B0%E8%A1%97%E9%81%93%E6%B7%B1%E5%8D%97%E5%A4%A7%E9%81%93%E4%B8%8E%E9%87%91%E7%94%B0%E8%B7%AF%E4%BA%A4%E6%B1%87%E5%A4%84_%E6%B7%B1%E5%9C%B3%E4%B8%AD%E5%BF%83%E5%A4%A9%E5%85%83%E5%85%AC%E5%AF%93.html","查看证据")</f>
        <v/>
      </c>
    </row>
    <row r="264">
      <c r="A264" t="inlineStr">
        <is>
          <t>住宅小区</t>
        </is>
      </c>
      <c r="B264" t="inlineStr">
        <is>
          <t>深圳中心天元公寓</t>
        </is>
      </c>
      <c r="C264" t="inlineStr">
        <is>
          <t>1.8</t>
        </is>
      </c>
      <c r="D264" s="5" t="inlineStr">
        <is>
          <t>设置公示牌，清晰公示管理责任人和电话、专项垃圾暂存点和废旧织物回收箱位置、厨余垃圾投放时段、各类垃圾收运处理企业等信息。（4分）</t>
        </is>
      </c>
      <c r="E264" t="inlineStr">
        <is>
          <t>-2</t>
        </is>
      </c>
      <c r="F264" s="5" t="inlineStr">
        <is>
          <t>（3）公示牌设置不规范（公示牌脱落、内容缺失、错误或模糊等）(-2)（1处问题）</t>
        </is>
      </c>
      <c r="G264">
        <f>HYPERLINK("https://yueling-buddy.github.io/xxr-inspection-album/weeks/2026-09-03/venue/v-%E7%A6%8F%E7%94%B0%E5%8C%BA%E7%A6%8F%E7%94%B0%E8%A1%97%E9%81%93%E6%B7%B1%E5%8D%97%E5%A4%A7%E9%81%93%E4%B8%8E%E9%87%91%E7%94%B0%E8%B7%AF%E4%BA%A4%E6%B1%87%E5%A4%84_%E6%B7%B1%E5%9C%B3%E4%B8%AD%E5%BF%83%E5%A4%A9%E5%85%83%E5%85%AC%E5%AF%93.html","查看证据")</f>
        <v/>
      </c>
    </row>
    <row r="265">
      <c r="A265" t="inlineStr">
        <is>
          <t>住宅小区</t>
        </is>
      </c>
      <c r="B265" t="inlineStr">
        <is>
          <t>深圳中心天元公寓</t>
        </is>
      </c>
      <c r="C265" t="inlineStr">
        <is>
          <t>1.14</t>
        </is>
      </c>
      <c r="D265" s="5" t="inlineStr">
        <is>
          <t>各类垃圾及时清运，投放点及其周围环境干净整洁，没有垃圾满溢、暴露垃圾、杂物堆放、严重积水或明显异味等问题。（6分）</t>
        </is>
      </c>
      <c r="E265" t="inlineStr">
        <is>
          <t>-2</t>
        </is>
      </c>
      <c r="F265" s="5" t="inlineStr">
        <is>
          <t>（3）环境卫生不整洁（投放点有暴露垃圾、杂物堆放，洗手池严重脏污，地面未硬底化，有明显污水污渍等）(-2)（1处问题）</t>
        </is>
      </c>
      <c r="G265">
        <f>HYPERLINK("https://yueling-buddy.github.io/xxr-inspection-album/weeks/2026-09-03/venue/v-%E7%A6%8F%E7%94%B0%E5%8C%BA%E7%A6%8F%E7%94%B0%E8%A1%97%E9%81%93%E6%B7%B1%E5%8D%97%E5%A4%A7%E9%81%93%E4%B8%8E%E9%87%91%E7%94%B0%E8%B7%AF%E4%BA%A4%E6%B1%87%E5%A4%84_%E6%B7%B1%E5%9C%B3%E4%B8%AD%E5%BF%83%E5%A4%A9%E5%85%83%E5%85%AC%E5%AF%93.html","查看证据")</f>
        <v/>
      </c>
    </row>
    <row r="266">
      <c r="A266" t="inlineStr">
        <is>
          <t>住宅小区</t>
        </is>
      </c>
      <c r="B266" t="inlineStr">
        <is>
          <t>深圳中心天元公寓</t>
        </is>
      </c>
      <c r="C266" t="inlineStr">
        <is>
          <t>1.16</t>
        </is>
      </c>
      <c r="D266" s="5" t="inlineStr">
        <is>
          <t>禁止通过捆绑、卡挡或上锁等方式封闭或遮挡投放口。（4分）</t>
        </is>
      </c>
      <c r="E266" t="inlineStr">
        <is>
          <t>-2</t>
        </is>
      </c>
      <c r="F266" s="5" t="inlineStr">
        <is>
          <t>（3）内桶未开盖(-2)（1处问题）</t>
        </is>
      </c>
      <c r="G266">
        <f>HYPERLINK("https://yueling-buddy.github.io/xxr-inspection-album/weeks/2026-09-03/venue/v-%E7%A6%8F%E7%94%B0%E5%8C%BA%E7%A6%8F%E7%94%B0%E8%A1%97%E9%81%93%E6%B7%B1%E5%8D%97%E5%A4%A7%E9%81%93%E4%B8%8E%E9%87%91%E7%94%B0%E8%B7%AF%E4%BA%A4%E6%B1%87%E5%A4%84_%E6%B7%B1%E5%9C%B3%E4%B8%AD%E5%BF%83%E5%A4%A9%E5%85%83%E5%85%AC%E5%AF%93.html","查看证据")</f>
        <v/>
      </c>
    </row>
    <row r="267">
      <c r="A267" t="inlineStr">
        <is>
          <t>住宅小区</t>
        </is>
      </c>
      <c r="B267" t="inlineStr">
        <is>
          <t>深圳中心天元公寓</t>
        </is>
      </c>
      <c r="C267" t="inlineStr">
        <is>
          <t>1.17</t>
        </is>
      </c>
      <c r="D267" s="5" t="inlineStr">
        <is>
          <t>转运桶应在黄线划定区域内摆放整齐并保持全天关闭（作业状态除外），禁止罩外摆桶供居民投放。（6分）</t>
        </is>
      </c>
      <c r="E267" t="inlineStr">
        <is>
          <t>-4</t>
        </is>
      </c>
      <c r="F267" s="5" t="inlineStr">
        <is>
          <t>（3）监控范围外罩外摆桶并开盖供居民投放(-2)（2处问题）</t>
        </is>
      </c>
      <c r="G267">
        <f>HYPERLINK("https://yueling-buddy.github.io/xxr-inspection-album/weeks/2026-09-03/venue/v-%E7%A6%8F%E7%94%B0%E5%8C%BA%E7%A6%8F%E7%94%B0%E8%A1%97%E9%81%93%E6%B7%B1%E5%8D%97%E5%A4%A7%E9%81%93%E4%B8%8E%E9%87%91%E7%94%B0%E8%B7%AF%E4%BA%A4%E6%B1%87%E5%A4%84_%E6%B7%B1%E5%9C%B3%E4%B8%AD%E5%BF%83%E5%A4%A9%E5%85%83%E5%85%AC%E5%AF%93.html","查看证据")</f>
        <v/>
      </c>
    </row>
    <row r="268">
      <c r="A268" t="inlineStr">
        <is>
          <t>住宅小区</t>
        </is>
      </c>
      <c r="B268" t="inlineStr">
        <is>
          <t>深圳中心天元公寓</t>
        </is>
      </c>
      <c r="C268" t="inlineStr">
        <is>
          <t>2.1</t>
        </is>
      </c>
      <c r="D268" s="5" t="inlineStr">
        <is>
          <t>设置标识牌，外观使用“深i回收”标识，封闭围挡，地面硬底化。（2分）</t>
        </is>
      </c>
      <c r="E268" t="inlineStr">
        <is>
          <t>-2</t>
        </is>
      </c>
      <c r="F268" s="5" t="inlineStr">
        <is>
          <t>（2）围挡设置不规范（未设置围挡，围挡封闭不全，或使用移动式栅栏、水马等围合）(-2)（1处问题）</t>
        </is>
      </c>
      <c r="G268">
        <f>HYPERLINK("https://yueling-buddy.github.io/xxr-inspection-album/weeks/2026-09-03/venue/v-%E7%A6%8F%E7%94%B0%E5%8C%BA%E7%A6%8F%E7%94%B0%E8%A1%97%E9%81%93%E6%B7%B1%E5%8D%97%E5%A4%A7%E9%81%93%E4%B8%8E%E9%87%91%E7%94%B0%E8%B7%AF%E4%BA%A4%E6%B1%87%E5%A4%84_%E6%B7%B1%E5%9C%B3%E4%B8%AD%E5%BF%83%E5%A4%A9%E5%85%83%E5%85%AC%E5%AF%93.html","查看证据")</f>
        <v/>
      </c>
    </row>
    <row r="269">
      <c r="A269" t="inlineStr">
        <is>
          <t>住宅小区</t>
        </is>
      </c>
      <c r="B269" t="inlineStr">
        <is>
          <t>福岗园大厦</t>
        </is>
      </c>
      <c r="C269" t="inlineStr">
        <is>
          <t>1.4</t>
        </is>
      </c>
      <c r="D269" s="5" t="inlineStr">
        <is>
          <t>至少设置一处厨余垃圾误时投放点，张贴误时投放点标识，并保持24小时开放。（2分）</t>
        </is>
      </c>
      <c r="E269" t="inlineStr">
        <is>
          <t>-2</t>
        </is>
      </c>
      <c r="F269" s="5" t="inlineStr">
        <is>
          <t>否(-2)（1处问题）</t>
        </is>
      </c>
      <c r="G269">
        <f>HYPERLINK("https://yueling-buddy.github.io/xxr-inspection-album/weeks/2026-09-03/venue/v-%E5%B9%BF%E4%B8%9C%E7%9C%81%E6%B7%B1%E5%9C%B3%E5%B8%82%E7%A6%8F%E7%94%B0%E5%8C%BA_%E9%87%91%E7%94%B0%E8%B7%AF3090%E5%8F%B7_%E4%BC%9A%E5%B1%95%E4%B8%AD%E5%BF%83%E5%9C%B0%E9%93%81%E7%AB%99A1%E5%8F%A3%E6%AD%A5%E8%A1%8C340%E7%B1%B3_%E7%A6%8F%E5%B2%97%E5%9B%AD%E5%A4%A7%E5%8E%A6.html","查看证据")</f>
        <v/>
      </c>
    </row>
    <row r="270">
      <c r="A270" t="inlineStr">
        <is>
          <t>住宅小区</t>
        </is>
      </c>
      <c r="B270" t="inlineStr">
        <is>
          <t>福岗园大厦</t>
        </is>
      </c>
      <c r="C270" t="inlineStr">
        <is>
          <t>1.5</t>
        </is>
      </c>
      <c r="D270" s="5" t="inlineStr">
        <is>
          <t>分类标志完整、正确、清晰，各类垃圾收集容器外罩和内桶的颜色正确。（4分）</t>
        </is>
      </c>
      <c r="E270" t="inlineStr">
        <is>
          <t>-2</t>
        </is>
      </c>
      <c r="F270" s="5" t="inlineStr">
        <is>
          <t>（3）外罩和内桶颜色不正确;（不强制要求垃圾桶套袋，若套袋的，收集容器应按垃圾类别对应颜色套袋）(-2)（1处问题）</t>
        </is>
      </c>
      <c r="G270">
        <f>HYPERLINK("https://yueling-buddy.github.io/xxr-inspection-album/weeks/2026-09-03/venue/v-%E5%B9%BF%E4%B8%9C%E7%9C%81%E6%B7%B1%E5%9C%B3%E5%B8%82%E7%A6%8F%E7%94%B0%E5%8C%BA_%E9%87%91%E7%94%B0%E8%B7%AF3090%E5%8F%B7_%E4%BC%9A%E5%B1%95%E4%B8%AD%E5%BF%83%E5%9C%B0%E9%93%81%E7%AB%99A1%E5%8F%A3%E6%AD%A5%E8%A1%8C340%E7%B1%B3_%E7%A6%8F%E5%B2%97%E5%9B%AD%E5%A4%A7%E5%8E%A6.html","查看证据")</f>
        <v/>
      </c>
    </row>
    <row r="271">
      <c r="A271" t="inlineStr">
        <is>
          <t>住宅小区</t>
        </is>
      </c>
      <c r="B271" t="inlineStr">
        <is>
          <t>福岗园大厦</t>
        </is>
      </c>
      <c r="C271" t="inlineStr">
        <is>
          <t>1.13</t>
        </is>
      </c>
      <c r="D271" s="5" t="inlineStr">
        <is>
          <t>收集容器外壁及内桶保持干净整洁，避免陈旧性脏污，收集容器内无积水。（4分）</t>
        </is>
      </c>
      <c r="E271" t="inlineStr">
        <is>
          <t>-2</t>
        </is>
      </c>
      <c r="F271" s="5" t="inlineStr">
        <is>
          <t>（2）收集容器外壁、内桶存在明显陈旧性脏污，大片锈迹等(-2)（1处问题）</t>
        </is>
      </c>
      <c r="G271">
        <f>HYPERLINK("https://yueling-buddy.github.io/xxr-inspection-album/weeks/2026-09-03/venue/v-%E5%B9%BF%E4%B8%9C%E7%9C%81%E6%B7%B1%E5%9C%B3%E5%B8%82%E7%A6%8F%E7%94%B0%E5%8C%BA_%E9%87%91%E7%94%B0%E8%B7%AF3090%E5%8F%B7_%E4%BC%9A%E5%B1%95%E4%B8%AD%E5%BF%83%E5%9C%B0%E9%93%81%E7%AB%99A1%E5%8F%A3%E6%AD%A5%E8%A1%8C340%E7%B1%B3_%E7%A6%8F%E5%B2%97%E5%9B%AD%E5%A4%A7%E5%8E%A6.html","查看证据")</f>
        <v/>
      </c>
    </row>
    <row r="272">
      <c r="A272" t="inlineStr">
        <is>
          <t>住宅小区</t>
        </is>
      </c>
      <c r="B272" t="inlineStr">
        <is>
          <t>福岗园大厦</t>
        </is>
      </c>
      <c r="C272" t="inlineStr">
        <is>
          <t>1.17</t>
        </is>
      </c>
      <c r="D272" s="5" t="inlineStr">
        <is>
          <t>转运桶应在黄线划定区域内摆放整齐并保持全天关闭（作业状态除外），禁止罩外摆桶供居民投放。（6分）</t>
        </is>
      </c>
      <c r="E272" t="inlineStr">
        <is>
          <t>-2</t>
        </is>
      </c>
      <c r="F272" s="5" t="inlineStr">
        <is>
          <t>（3）监控范围外罩外摆桶并开盖供居民投放(-2)（1处问题）</t>
        </is>
      </c>
      <c r="G272">
        <f>HYPERLINK("https://yueling-buddy.github.io/xxr-inspection-album/weeks/2026-09-03/venue/v-%E5%B9%BF%E4%B8%9C%E7%9C%81%E6%B7%B1%E5%9C%B3%E5%B8%82%E7%A6%8F%E7%94%B0%E5%8C%BA_%E9%87%91%E7%94%B0%E8%B7%AF3090%E5%8F%B7_%E4%BC%9A%E5%B1%95%E4%B8%AD%E5%BF%83%E5%9C%B0%E9%93%81%E7%AB%99A1%E5%8F%A3%E6%AD%A5%E8%A1%8C340%E7%B1%B3_%E7%A6%8F%E5%B2%97%E5%9B%AD%E5%A4%A7%E5%8E%A6.html","查看证据")</f>
        <v/>
      </c>
    </row>
    <row r="273">
      <c r="A273" t="inlineStr">
        <is>
          <t>住宅小区</t>
        </is>
      </c>
      <c r="B273" t="inlineStr">
        <is>
          <t>福岗园大厦</t>
        </is>
      </c>
      <c r="C273" t="inlineStr">
        <is>
          <t>2.1</t>
        </is>
      </c>
      <c r="D273" s="5" t="inlineStr">
        <is>
          <t>设置标识牌，外观使用“深i回收”标识，封闭围挡，地面硬底化。（2分）</t>
        </is>
      </c>
      <c r="E273" t="inlineStr">
        <is>
          <t>-2</t>
        </is>
      </c>
      <c r="F273" s="5" t="inlineStr">
        <is>
          <t>（5）其他问题说明（备注描述）(-2)（1处问题）</t>
        </is>
      </c>
      <c r="G273">
        <f>HYPERLINK("https://yueling-buddy.github.io/xxr-inspection-album/weeks/2026-09-03/venue/v-%E5%B9%BF%E4%B8%9C%E7%9C%81%E6%B7%B1%E5%9C%B3%E5%B8%82%E7%A6%8F%E7%94%B0%E5%8C%BA_%E9%87%91%E7%94%B0%E8%B7%AF3090%E5%8F%B7_%E4%BC%9A%E5%B1%95%E4%B8%AD%E5%BF%83%E5%9C%B0%E9%93%81%E7%AB%99A1%E5%8F%A3%E6%AD%A5%E8%A1%8C340%E7%B1%B3_%E7%A6%8F%E5%B2%97%E5%9B%AD%E5%A4%A7%E5%8E%A6.html","查看证据")</f>
        <v/>
      </c>
    </row>
    <row r="274">
      <c r="A274" t="inlineStr">
        <is>
          <t>住宅小区</t>
        </is>
      </c>
      <c r="B274" t="inlineStr">
        <is>
          <t>福岗园大厦</t>
        </is>
      </c>
      <c r="C274" t="inlineStr">
        <is>
          <t>2.4</t>
        </is>
      </c>
      <c r="D274" s="5" t="inlineStr">
        <is>
          <t>暂存点及其周围环境干净整洁，没有污水积聚或散落垃圾，禁止存放易燃易爆危险品，禁止违规接电、住人。（2分）</t>
        </is>
      </c>
      <c r="E274" t="inlineStr">
        <is>
          <t>-2</t>
        </is>
      </c>
      <c r="F274" s="5" t="inlineStr">
        <is>
          <t>（5）暂存点存在用水用电安全隐患(-2)（1处问题）</t>
        </is>
      </c>
      <c r="G274">
        <f>HYPERLINK("https://yueling-buddy.github.io/xxr-inspection-album/weeks/2026-09-03/venue/v-%E5%B9%BF%E4%B8%9C%E7%9C%81%E6%B7%B1%E5%9C%B3%E5%B8%82%E7%A6%8F%E7%94%B0%E5%8C%BA_%E9%87%91%E7%94%B0%E8%B7%AF3090%E5%8F%B7_%E4%BC%9A%E5%B1%95%E4%B8%AD%E5%BF%83%E5%9C%B0%E9%93%81%E7%AB%99A1%E5%8F%A3%E6%AD%A5%E8%A1%8C340%E7%B1%B3_%E7%A6%8F%E5%B2%97%E5%9B%AD%E5%A4%A7%E5%8E%A6.html","查看证据")</f>
        <v/>
      </c>
    </row>
    <row r="275">
      <c r="A275" t="inlineStr">
        <is>
          <t>交通场站</t>
        </is>
      </c>
      <c r="B275" t="inlineStr">
        <is>
          <t>岗厦地铁站</t>
        </is>
      </c>
      <c r="C275" t="inlineStr">
        <is>
          <t>3.1</t>
        </is>
      </c>
      <c r="D275" s="5" t="inlineStr">
        <is>
          <t>公共区域张贴或摆放垃圾分类宣传海报或指引等。</t>
        </is>
      </c>
      <c r="E275" t="inlineStr">
        <is>
          <t>-5</t>
        </is>
      </c>
      <c r="F275" s="5" t="inlineStr">
        <is>
          <t>（2）未按要求张贴垃圾分类宣传海报/指引，或海报内容错误/未更新等(-5)（1处问题）</t>
        </is>
      </c>
      <c r="G275">
        <f>HYPERLINK("https://yueling-buddy.github.io/xxr-inspection-album/weeks/2026-09-03/venue/v-%E6%B7%B1%E5%9C%B3%E5%B8%82%E7%A6%8F%E7%94%B0%E5%8C%BA%E5%B2%97%E5%8E%A6%E5%9C%B0%E9%93%81%E7%AB%99_%E5%B2%97%E5%8E%A6%E5%9C%B0%E9%93%81%E7%AB%99.html","查看证据")</f>
        <v/>
      </c>
    </row>
    <row r="276">
      <c r="A276" t="inlineStr">
        <is>
          <t>住宅小区</t>
        </is>
      </c>
      <c r="B276" t="inlineStr">
        <is>
          <t>嘉麟豪庭</t>
        </is>
      </c>
      <c r="C276" t="inlineStr">
        <is>
          <t>1.4</t>
        </is>
      </c>
      <c r="D276" s="5" t="inlineStr">
        <is>
          <t>至少设置一处厨余垃圾误时投放点，张贴误时投放点标识，并保持24小时开放。（2分）</t>
        </is>
      </c>
      <c r="E276" t="inlineStr">
        <is>
          <t>-2</t>
        </is>
      </c>
      <c r="F276" s="5" t="inlineStr">
        <is>
          <t>否(-2)（1处问题）</t>
        </is>
      </c>
      <c r="G276">
        <f>HYPERLINK("https://yueling-buddy.github.io/xxr-inspection-album/weeks/2026-09-03/venue/v-%E6%B7%B1%E5%9C%B3%E5%B8%82%E7%A6%8F%E7%94%B0%E5%8C%BA%E6%B7%B1%E5%8D%97%E5%A4%A7%E9%81%932001%E5%8F%B7_%E5%98%89%E9%BA%9F%E8%B1%AA%E5%BA%AD.html","查看证据")</f>
        <v/>
      </c>
    </row>
    <row r="277">
      <c r="A277" t="inlineStr">
        <is>
          <t>住宅小区</t>
        </is>
      </c>
      <c r="B277" t="inlineStr">
        <is>
          <t>嘉麟豪庭</t>
        </is>
      </c>
      <c r="C277" t="inlineStr">
        <is>
          <t>1.5</t>
        </is>
      </c>
      <c r="D277" s="5" t="inlineStr">
        <is>
          <t>分类标志完整、正确、清晰，各类垃圾收集容器外罩和内桶的颜色正确。（4分）</t>
        </is>
      </c>
      <c r="E277" t="inlineStr">
        <is>
          <t>-2</t>
        </is>
      </c>
      <c r="F277" s="5" t="inlineStr">
        <is>
          <t>（3）外罩和内桶颜色不正确;（不强制要求垃圾桶套袋，若套袋的，收集容器应按垃圾类别对应颜色套袋）(-2)（1处问题）</t>
        </is>
      </c>
      <c r="G277">
        <f>HYPERLINK("https://yueling-buddy.github.io/xxr-inspection-album/weeks/2026-09-03/venue/v-%E6%B7%B1%E5%9C%B3%E5%B8%82%E7%A6%8F%E7%94%B0%E5%8C%BA%E6%B7%B1%E5%8D%97%E5%A4%A7%E9%81%932001%E5%8F%B7_%E5%98%89%E9%BA%9F%E8%B1%AA%E5%BA%AD.html","查看证据")</f>
        <v/>
      </c>
    </row>
    <row r="278">
      <c r="A278" t="inlineStr">
        <is>
          <t>住宅小区</t>
        </is>
      </c>
      <c r="B278" t="inlineStr">
        <is>
          <t>嘉麟豪庭</t>
        </is>
      </c>
      <c r="C278" t="inlineStr">
        <is>
          <t>1.8</t>
        </is>
      </c>
      <c r="D278" s="5" t="inlineStr">
        <is>
          <t>设置公示牌，清晰公示管理责任人和电话、专项垃圾暂存点和废旧织物回收箱位置、厨余垃圾投放时段、各类垃圾收运处理企业等信息。（4分）</t>
        </is>
      </c>
      <c r="E278" t="inlineStr">
        <is>
          <t>-2</t>
        </is>
      </c>
      <c r="F278" s="5" t="inlineStr">
        <is>
          <t>（3）公示牌设置不规范（公示牌脱落、内容缺失、错误或模糊等）(-2)（1处问题）</t>
        </is>
      </c>
      <c r="G278">
        <f>HYPERLINK("https://yueling-buddy.github.io/xxr-inspection-album/weeks/2026-09-03/venue/v-%E6%B7%B1%E5%9C%B3%E5%B8%82%E7%A6%8F%E7%94%B0%E5%8C%BA%E6%B7%B1%E5%8D%97%E5%A4%A7%E9%81%932001%E5%8F%B7_%E5%98%89%E9%BA%9F%E8%B1%AA%E5%BA%AD.html","查看证据")</f>
        <v/>
      </c>
    </row>
    <row r="279">
      <c r="A279" t="inlineStr">
        <is>
          <t>住宅小区</t>
        </is>
      </c>
      <c r="B279" t="inlineStr">
        <is>
          <t>嘉麟豪庭</t>
        </is>
      </c>
      <c r="C279" t="inlineStr">
        <is>
          <t>1.17</t>
        </is>
      </c>
      <c r="D279" s="5" t="inlineStr">
        <is>
          <t>转运桶应在黄线划定区域内摆放整齐并保持全天关闭（作业状态除外），禁止罩外摆桶供居民投放。（6分）</t>
        </is>
      </c>
      <c r="E279" t="inlineStr">
        <is>
          <t>-2</t>
        </is>
      </c>
      <c r="F279" s="5" t="inlineStr">
        <is>
          <t>（3）监控范围外罩外摆桶并开盖供居民投放(-2)（1处问题）</t>
        </is>
      </c>
      <c r="G279">
        <f>HYPERLINK("https://yueling-buddy.github.io/xxr-inspection-album/weeks/2026-09-03/venue/v-%E6%B7%B1%E5%9C%B3%E5%B8%82%E7%A6%8F%E7%94%B0%E5%8C%BA%E6%B7%B1%E5%8D%97%E5%A4%A7%E9%81%932001%E5%8F%B7_%E5%98%89%E9%BA%9F%E8%B1%AA%E5%BA%AD.html","查看证据")</f>
        <v/>
      </c>
    </row>
    <row r="280">
      <c r="A280" t="inlineStr">
        <is>
          <t>住宅小区</t>
        </is>
      </c>
      <c r="B280" t="inlineStr">
        <is>
          <t>嘉麟豪庭</t>
        </is>
      </c>
      <c r="C280" t="inlineStr">
        <is>
          <t>2.1</t>
        </is>
      </c>
      <c r="D280" s="5" t="inlineStr">
        <is>
          <t>设置标识牌，外观使用“深i回收”标识，封闭围挡，地面硬底化。（2分）</t>
        </is>
      </c>
      <c r="E280" t="inlineStr">
        <is>
          <t>-2</t>
        </is>
      </c>
      <c r="F280" s="5" t="inlineStr">
        <is>
          <t>（5）其他问题说明（备注描述）(-2)（1处问题）</t>
        </is>
      </c>
      <c r="G280">
        <f>HYPERLINK("https://yueling-buddy.github.io/xxr-inspection-album/weeks/2026-09-03/venue/v-%E6%B7%B1%E5%9C%B3%E5%B8%82%E7%A6%8F%E7%94%B0%E5%8C%BA%E6%B7%B1%E5%8D%97%E5%A4%A7%E9%81%932001%E5%8F%B7_%E5%98%89%E9%BA%9F%E8%B1%AA%E5%BA%AD.html","查看证据")</f>
        <v/>
      </c>
    </row>
    <row r="281">
      <c r="A281" t="inlineStr">
        <is>
          <t>住宅小区</t>
        </is>
      </c>
      <c r="B281" t="inlineStr">
        <is>
          <t>嘉麟豪庭</t>
        </is>
      </c>
      <c r="C281" t="inlineStr">
        <is>
          <t>2.2</t>
        </is>
      </c>
      <c r="D281" s="5" t="inlineStr">
        <is>
          <t>设置消防设施，使用功能正常，取用方便。（2分）</t>
        </is>
      </c>
      <c r="E281" t="inlineStr">
        <is>
          <t>-2</t>
        </is>
      </c>
      <c r="F281" s="5" t="inlineStr">
        <is>
          <t>（2）消防设施不规范（设备缺失、破损严重/过期等）(-2)（1处问题）</t>
        </is>
      </c>
      <c r="G281">
        <f>HYPERLINK("https://yueling-buddy.github.io/xxr-inspection-album/weeks/2026-09-03/venue/v-%E6%B7%B1%E5%9C%B3%E5%B8%82%E7%A6%8F%E7%94%B0%E5%8C%BA%E6%B7%B1%E5%8D%97%E5%A4%A7%E9%81%932001%E5%8F%B7_%E5%98%89%E9%BA%9F%E8%B1%AA%E5%BA%AD.html","查看证据")</f>
        <v/>
      </c>
    </row>
    <row r="282">
      <c r="A282" t="inlineStr">
        <is>
          <t>住宅小区</t>
        </is>
      </c>
      <c r="B282" t="inlineStr">
        <is>
          <t>嘉麟豪庭</t>
        </is>
      </c>
      <c r="C282" t="inlineStr">
        <is>
          <t>2.4</t>
        </is>
      </c>
      <c r="D282" s="5" t="inlineStr">
        <is>
          <t>暂存点及其周围环境干净整洁，没有污水积聚或散落垃圾，禁止存放易燃易爆危险品，禁止违规接电、住人。（2分）</t>
        </is>
      </c>
      <c r="E282" t="inlineStr">
        <is>
          <t>-2</t>
        </is>
      </c>
      <c r="F282" s="5" t="inlineStr">
        <is>
          <t>（2）暂存点及周围环境不整洁（垃圾堆放杂乱、垃圾散落、地面污水积聚等）(-2)（1处问题）</t>
        </is>
      </c>
      <c r="G282">
        <f>HYPERLINK("https://yueling-buddy.github.io/xxr-inspection-album/weeks/2026-09-03/venue/v-%E6%B7%B1%E5%9C%B3%E5%B8%82%E7%A6%8F%E7%94%B0%E5%8C%BA%E6%B7%B1%E5%8D%97%E5%A4%A7%E9%81%932001%E5%8F%B7_%E5%98%89%E9%BA%9F%E8%B1%AA%E5%BA%AD.html","查看证据")</f>
        <v/>
      </c>
    </row>
    <row r="283">
      <c r="A283" t="inlineStr">
        <is>
          <t>住宅小区</t>
        </is>
      </c>
      <c r="B283" t="inlineStr">
        <is>
          <t>嘉麟豪庭</t>
        </is>
      </c>
      <c r="C283" t="inlineStr">
        <is>
          <t>3.2</t>
        </is>
      </c>
      <c r="D283" s="5" t="inlineStr">
        <is>
          <t>暂存点及其周围环境干净整洁，各类桶整齐、密闭摆放，没有污水积聚或散落垃圾。（2分）</t>
        </is>
      </c>
      <c r="E283" t="inlineStr">
        <is>
          <t>-2</t>
        </is>
      </c>
      <c r="F283" s="5" t="inlineStr">
        <is>
          <t>（3）暂存点与专项垃圾暂存点共用的，应保留一部分位置存放专项垃圾(-2)（1处问题）</t>
        </is>
      </c>
      <c r="G283">
        <f>HYPERLINK("https://yueling-buddy.github.io/xxr-inspection-album/weeks/2026-09-03/venue/v-%E6%B7%B1%E5%9C%B3%E5%B8%82%E7%A6%8F%E7%94%B0%E5%8C%BA%E6%B7%B1%E5%8D%97%E5%A4%A7%E9%81%932001%E5%8F%B7_%E5%98%89%E9%BA%9F%E8%B1%AA%E5%BA%AD.html","查看证据")</f>
        <v/>
      </c>
    </row>
    <row r="284">
      <c r="A284" t="inlineStr">
        <is>
          <t>住宅小区</t>
        </is>
      </c>
      <c r="B284" t="inlineStr">
        <is>
          <t>深南花园</t>
        </is>
      </c>
      <c r="C284" t="inlineStr">
        <is>
          <t>1.9</t>
        </is>
      </c>
      <c r="D284" s="5" t="inlineStr">
        <is>
          <t>各设施齐全完好，摆放整齐有序，使用功能正常，没有严重破损、陈旧问题，不得拆除投放口盖板支撑杆。（6分）</t>
        </is>
      </c>
      <c r="E284" t="inlineStr">
        <is>
          <t>-4</t>
        </is>
      </c>
      <c r="F284" s="5" t="inlineStr">
        <is>
          <t>（2）分类设施损坏或摆放不整齐(-2)（2处问题）</t>
        </is>
      </c>
      <c r="G284">
        <f>HYPERLINK("https://yueling-buddy.github.io/xxr-inspection-album/weeks/2026-09-03/venue/v-%E5%B9%BF%E4%B8%9C%E7%9C%81%E6%B7%B1%E5%9C%B3%E5%B8%82%E5%8D%97%E5%B1%B1%E5%8C%BA%E7%B2%A4%E6%B5%B7%E8%A1%97%E9%81%93%E6%B7%B1%E5%8D%97%E8%8A%B1%E5%9B%AD_%E6%B7%B1%E5%8D%97%E8%8A%B1%E5%9B%AD.html","查看证据")</f>
        <v/>
      </c>
    </row>
    <row r="285">
      <c r="A285" t="inlineStr">
        <is>
          <t>住宅小区</t>
        </is>
      </c>
      <c r="B285" t="inlineStr">
        <is>
          <t>深南花园</t>
        </is>
      </c>
      <c r="C285" t="inlineStr">
        <is>
          <t>2.4</t>
        </is>
      </c>
      <c r="D285" s="5" t="inlineStr">
        <is>
          <t>暂存点及其周围环境干净整洁，没有污水积聚或散落垃圾，禁止存放易燃易爆危险品，禁止违规接电、住人。（2分）</t>
        </is>
      </c>
      <c r="E285" t="inlineStr">
        <is>
          <t>-2</t>
        </is>
      </c>
      <c r="F285" s="5" t="inlineStr">
        <is>
          <t>（4）暂存点外堆放废旧家具等大件垃圾(-2)（1处问题）； （7）其他问题说明（备注描述）(-2)（1处问题）</t>
        </is>
      </c>
      <c r="G285">
        <f>HYPERLINK("https://yueling-buddy.github.io/xxr-inspection-album/weeks/2026-09-03/venue/v-%E5%B9%BF%E4%B8%9C%E7%9C%81%E6%B7%B1%E5%9C%B3%E5%B8%82%E5%8D%97%E5%B1%B1%E5%8C%BA%E7%B2%A4%E6%B5%B7%E8%A1%97%E9%81%93%E6%B7%B1%E5%8D%97%E8%8A%B1%E5%9B%AD_%E6%B7%B1%E5%8D%97%E8%8A%B1%E5%9B%AD.html","查看证据")</f>
        <v/>
      </c>
    </row>
    <row r="286">
      <c r="A286" t="inlineStr">
        <is>
          <t>住宅小区</t>
        </is>
      </c>
      <c r="B286" t="inlineStr">
        <is>
          <t>深南花园</t>
        </is>
      </c>
      <c r="C286" t="inlineStr">
        <is>
          <t>3.2</t>
        </is>
      </c>
      <c r="D286" s="5" t="inlineStr">
        <is>
          <t>暂存点及其周围环境干净整洁，各类桶整齐、密闭摆放，没有污水积聚或散落垃圾。（2分）</t>
        </is>
      </c>
      <c r="E286" t="inlineStr">
        <is>
          <t>-2</t>
        </is>
      </c>
      <c r="F286" s="5" t="inlineStr">
        <is>
          <t>（2）暂存点及周围环境不整洁（垃圾堆放杂乱、垃圾散落、地面污水积聚等）(-2)（1处问题）； （3）暂存点与专项垃圾暂存点共用的，应保留一部分位置存放专项垃圾(-2)（1处问题）</t>
        </is>
      </c>
      <c r="G286">
        <f>HYPERLINK("https://yueling-buddy.github.io/xxr-inspection-album/weeks/2026-09-03/venue/v-%E5%B9%BF%E4%B8%9C%E7%9C%81%E6%B7%B1%E5%9C%B3%E5%B8%82%E5%8D%97%E5%B1%B1%E5%8C%BA%E7%B2%A4%E6%B5%B7%E8%A1%97%E9%81%93%E6%B7%B1%E5%8D%97%E8%8A%B1%E5%9B%AD_%E6%B7%B1%E5%8D%97%E8%8A%B1%E5%9B%AD.html","查看证据")</f>
        <v/>
      </c>
    </row>
    <row r="287">
      <c r="A287" t="inlineStr">
        <is>
          <t>住宅小区</t>
        </is>
      </c>
      <c r="B287" t="inlineStr">
        <is>
          <t>汇景豪苑</t>
        </is>
      </c>
      <c r="C287" t="inlineStr">
        <is>
          <t>1.6</t>
        </is>
      </c>
      <c r="D287" s="5" t="inlineStr">
        <is>
          <t>设置洗手设施。（2分）</t>
        </is>
      </c>
      <c r="E287" t="inlineStr">
        <is>
          <t>-1</t>
        </is>
      </c>
      <c r="F287" s="5" t="inlineStr">
        <is>
          <t>（3）洗手设施不规范（包括水龙头损坏或明显松动，水龙头不出水，洗手盆堵塞等）(-1)（1处问题）</t>
        </is>
      </c>
      <c r="G287">
        <f>HYPERLINK("https://yueling-buddy.github.io/xxr-inspection-album/weeks/2026-09-03/venue/v-%E5%B9%BF%E4%B8%9C%E7%9C%81%E6%B7%B1%E5%9C%B3%E5%B8%82%E5%8D%97%E5%B1%B1%E5%8C%BA%E7%B2%A4%E6%B5%B7%E8%A1%97%E9%81%93%E6%B1%87%E6%99%AF%E8%B1%AA%E8%8B%91_%E6%B1%87%E6%99%AF%E8%B1%AA%E8%8B%91.html","查看证据")</f>
        <v/>
      </c>
    </row>
    <row r="288">
      <c r="A288" t="inlineStr">
        <is>
          <t>住宅小区</t>
        </is>
      </c>
      <c r="B288" t="inlineStr">
        <is>
          <t>汇景豪苑</t>
        </is>
      </c>
      <c r="C288" t="inlineStr">
        <is>
          <t>1.8</t>
        </is>
      </c>
      <c r="D288" s="5" t="inlineStr">
        <is>
          <t>设置公示牌，清晰公示管理责任人和电话、专项垃圾暂存点和废旧织物回收箱位置、厨余垃圾投放时段、各类垃圾收运处理企业等信息。（4分）</t>
        </is>
      </c>
      <c r="E288" t="inlineStr">
        <is>
          <t>-2</t>
        </is>
      </c>
      <c r="F288" s="5" t="inlineStr">
        <is>
          <t>（2）责任公示牌缺失(-2)（1处问题）</t>
        </is>
      </c>
      <c r="G288">
        <f>HYPERLINK("https://yueling-buddy.github.io/xxr-inspection-album/weeks/2026-09-03/venue/v-%E5%B9%BF%E4%B8%9C%E7%9C%81%E6%B7%B1%E5%9C%B3%E5%B8%82%E5%8D%97%E5%B1%B1%E5%8C%BA%E7%B2%A4%E6%B5%B7%E8%A1%97%E9%81%93%E6%B1%87%E6%99%AF%E8%B1%AA%E8%8B%91_%E6%B1%87%E6%99%AF%E8%B1%AA%E8%8B%91.html","查看证据")</f>
        <v/>
      </c>
    </row>
    <row r="289">
      <c r="A289" t="inlineStr">
        <is>
          <t>住宅小区</t>
        </is>
      </c>
      <c r="B289" t="inlineStr">
        <is>
          <t>汇景豪苑</t>
        </is>
      </c>
      <c r="C289" t="inlineStr">
        <is>
          <t>1.9</t>
        </is>
      </c>
      <c r="D289" s="5" t="inlineStr">
        <is>
          <t>各设施齐全完好，摆放整齐有序，使用功能正常，没有严重破损、陈旧问题，不得拆除投放口盖板支撑杆。（6分）</t>
        </is>
      </c>
      <c r="E289" t="inlineStr">
        <is>
          <t>-2</t>
        </is>
      </c>
      <c r="F289" s="5" t="inlineStr">
        <is>
          <t>（2）分类设施损坏或摆放不整齐(-2)（1处问题）</t>
        </is>
      </c>
      <c r="G289">
        <f>HYPERLINK("https://yueling-buddy.github.io/xxr-inspection-album/weeks/2026-09-03/venue/v-%E5%B9%BF%E4%B8%9C%E7%9C%81%E6%B7%B1%E5%9C%B3%E5%B8%82%E5%8D%97%E5%B1%B1%E5%8C%BA%E7%B2%A4%E6%B5%B7%E8%A1%97%E9%81%93%E6%B1%87%E6%99%AF%E8%B1%AA%E8%8B%91_%E6%B1%87%E6%99%AF%E8%B1%AA%E8%8B%91.html","查看证据")</f>
        <v/>
      </c>
    </row>
    <row r="290">
      <c r="A290" t="inlineStr">
        <is>
          <t>住宅小区</t>
        </is>
      </c>
      <c r="B290" t="inlineStr">
        <is>
          <t>汇景豪苑</t>
        </is>
      </c>
      <c r="C290" t="inlineStr">
        <is>
          <t>1.14</t>
        </is>
      </c>
      <c r="D290" s="5" t="inlineStr">
        <is>
          <t>各类垃圾及时清运，投放点及其周围环境干净整洁，没有垃圾满溢、暴露垃圾、杂物堆放、严重积水或明显异味等问题。（6分）</t>
        </is>
      </c>
      <c r="E290" t="inlineStr">
        <is>
          <t>-2</t>
        </is>
      </c>
      <c r="F290" s="5" t="inlineStr">
        <is>
          <t>（3）环境卫生不整洁（投放点有暴露垃圾、杂物堆放，洗手池严重脏污，地面未硬底化，有明显污水污渍等）(-2)（1处问题）</t>
        </is>
      </c>
      <c r="G290">
        <f>HYPERLINK("https://yueling-buddy.github.io/xxr-inspection-album/weeks/2026-09-03/venue/v-%E5%B9%BF%E4%B8%9C%E7%9C%81%E6%B7%B1%E5%9C%B3%E5%B8%82%E5%8D%97%E5%B1%B1%E5%8C%BA%E7%B2%A4%E6%B5%B7%E8%A1%97%E9%81%93%E6%B1%87%E6%99%AF%E8%B1%AA%E8%8B%91_%E6%B1%87%E6%99%AF%E8%B1%AA%E8%8B%91.html","查看证据")</f>
        <v/>
      </c>
    </row>
    <row r="291">
      <c r="A291" t="inlineStr">
        <is>
          <t>住宅小区</t>
        </is>
      </c>
      <c r="B291" t="inlineStr">
        <is>
          <t>汇景豪苑</t>
        </is>
      </c>
      <c r="C291" t="inlineStr">
        <is>
          <t>4.3</t>
        </is>
      </c>
      <c r="D291" s="5" t="inlineStr">
        <is>
          <t>设备齐全完好，摆放整齐有序，功能正常，外观没有严重破损，没有用电隐患。（2分）</t>
        </is>
      </c>
      <c r="E291" t="inlineStr">
        <is>
          <t>-2</t>
        </is>
      </c>
      <c r="F291" s="5" t="inlineStr">
        <is>
          <t>（3）其他问题说明（备注描述）(-2)（1处问题）</t>
        </is>
      </c>
      <c r="G291">
        <f>HYPERLINK("https://yueling-buddy.github.io/xxr-inspection-album/weeks/2026-09-03/venue/v-%E5%B9%BF%E4%B8%9C%E7%9C%81%E6%B7%B1%E5%9C%B3%E5%B8%82%E5%8D%97%E5%B1%B1%E5%8C%BA%E7%B2%A4%E6%B5%B7%E8%A1%97%E9%81%93%E6%B1%87%E6%99%AF%E8%B1%AA%E8%8B%91_%E6%B1%87%E6%99%AF%E8%B1%AA%E8%8B%91.html","查看证据")</f>
        <v/>
      </c>
    </row>
    <row r="292">
      <c r="A292" t="inlineStr">
        <is>
          <t>住宅小区</t>
        </is>
      </c>
      <c r="B292" t="inlineStr">
        <is>
          <t>科苑西小区</t>
        </is>
      </c>
      <c r="C292" t="inlineStr">
        <is>
          <t>1.13</t>
        </is>
      </c>
      <c r="D292" s="5" t="inlineStr">
        <is>
          <t>收集容器外壁及内桶保持干净整洁，避免陈旧性脏污，收集容器内无积水。（4分）</t>
        </is>
      </c>
      <c r="E292" t="inlineStr">
        <is>
          <t>-2</t>
        </is>
      </c>
      <c r="F292" s="5" t="inlineStr">
        <is>
          <t>（2）收集容器外壁、内桶存在明显陈旧性脏污，大片锈迹等(-2)（1处问题）</t>
        </is>
      </c>
      <c r="G292">
        <f>HYPERLINK("https://yueling-buddy.github.io/xxr-inspection-album/weeks/2026-09-03/venue/v-%E5%B9%BF%E4%B8%9C%E7%9C%81%E6%B7%B1%E5%9C%B3%E5%B8%82%E5%8D%97%E5%B1%B1%E5%8C%BA%E7%B2%A4%E6%B5%B7%E8%A1%97%E9%81%93%E7%A7%91%E5%85%B4%E8%B7%AF6%E5%8F%B7%E7%A7%91%E8%8B%91%E8%A5%BF%E4%BD%8F%E5%AE%85%E5%B0%8F%E5%8C%BA_%E7%A7%91%E8%8B%91%E8%A5%BF%E5%B0%8F%E5%8C%BA.html","查看证据")</f>
        <v/>
      </c>
    </row>
    <row r="293">
      <c r="A293" t="inlineStr">
        <is>
          <t>住宅小区</t>
        </is>
      </c>
      <c r="B293" t="inlineStr">
        <is>
          <t>科苑西小区</t>
        </is>
      </c>
      <c r="C293" t="inlineStr">
        <is>
          <t>1.14</t>
        </is>
      </c>
      <c r="D293" s="5" t="inlineStr">
        <is>
          <t>各类垃圾及时清运，投放点及其周围环境干净整洁，没有垃圾满溢、暴露垃圾、杂物堆放、严重积水或明显异味等问题。（6分）</t>
        </is>
      </c>
      <c r="E293" t="inlineStr">
        <is>
          <t>-2</t>
        </is>
      </c>
      <c r="F293" s="5" t="inlineStr">
        <is>
          <t>（5）其他问题说明（备注描述）(-2)（1处问题）</t>
        </is>
      </c>
      <c r="G293">
        <f>HYPERLINK("https://yueling-buddy.github.io/xxr-inspection-album/weeks/2026-09-03/venue/v-%E5%B9%BF%E4%B8%9C%E7%9C%81%E6%B7%B1%E5%9C%B3%E5%B8%82%E5%8D%97%E5%B1%B1%E5%8C%BA%E7%B2%A4%E6%B5%B7%E8%A1%97%E9%81%93%E7%A7%91%E5%85%B4%E8%B7%AF6%E5%8F%B7%E7%A7%91%E8%8B%91%E8%A5%BF%E4%BD%8F%E5%AE%85%E5%B0%8F%E5%8C%BA_%E7%A7%91%E8%8B%91%E8%A5%BF%E5%B0%8F%E5%8C%BA.html","查看证据")</f>
        <v/>
      </c>
    </row>
    <row r="294">
      <c r="A294" t="inlineStr">
        <is>
          <t>住宅小区</t>
        </is>
      </c>
      <c r="B294" t="inlineStr">
        <is>
          <t>科苑西小区</t>
        </is>
      </c>
      <c r="C294" t="inlineStr">
        <is>
          <t>2.3</t>
        </is>
      </c>
      <c r="D294" s="5" t="inlineStr">
        <is>
          <t>各类垃圾及时清运。（2分）</t>
        </is>
      </c>
      <c r="E294" t="inlineStr">
        <is>
          <t>-2</t>
        </is>
      </c>
      <c r="F294" s="5" t="inlineStr">
        <is>
          <t>（2）暂存点内垃圾清运不及时(-2)（1处问题）</t>
        </is>
      </c>
      <c r="G294">
        <f>HYPERLINK("https://yueling-buddy.github.io/xxr-inspection-album/weeks/2026-09-03/venue/v-%E5%B9%BF%E4%B8%9C%E7%9C%81%E6%B7%B1%E5%9C%B3%E5%B8%82%E5%8D%97%E5%B1%B1%E5%8C%BA%E7%B2%A4%E6%B5%B7%E8%A1%97%E9%81%93%E7%A7%91%E5%85%B4%E8%B7%AF6%E5%8F%B7%E7%A7%91%E8%8B%91%E8%A5%BF%E4%BD%8F%E5%AE%85%E5%B0%8F%E5%8C%BA_%E7%A7%91%E8%8B%91%E8%A5%BF%E5%B0%8F%E5%8C%BA.html","查看证据")</f>
        <v/>
      </c>
    </row>
    <row r="295">
      <c r="A295" t="inlineStr">
        <is>
          <t>住宅小区</t>
        </is>
      </c>
      <c r="B295" t="inlineStr">
        <is>
          <t>科苑西小区</t>
        </is>
      </c>
      <c r="C295" t="inlineStr">
        <is>
          <t>2.4</t>
        </is>
      </c>
      <c r="D295" s="5" t="inlineStr">
        <is>
          <t>暂存点及其周围环境干净整洁，没有污水积聚或散落垃圾，禁止存放易燃易爆危险品，禁止违规接电、住人。（2分）</t>
        </is>
      </c>
      <c r="E295" t="inlineStr">
        <is>
          <t>-2</t>
        </is>
      </c>
      <c r="F295" s="5" t="inlineStr">
        <is>
          <t>（4）暂存点外堆放废旧家具等大件垃圾(-2)（1处问题）</t>
        </is>
      </c>
      <c r="G295">
        <f>HYPERLINK("https://yueling-buddy.github.io/xxr-inspection-album/weeks/2026-09-03/venue/v-%E5%B9%BF%E4%B8%9C%E7%9C%81%E6%B7%B1%E5%9C%B3%E5%B8%82%E5%8D%97%E5%B1%B1%E5%8C%BA%E7%B2%A4%E6%B5%B7%E8%A1%97%E9%81%93%E7%A7%91%E5%85%B4%E8%B7%AF6%E5%8F%B7%E7%A7%91%E8%8B%91%E8%A5%BF%E4%BD%8F%E5%AE%85%E5%B0%8F%E5%8C%BA_%E7%A7%91%E8%8B%91%E8%A5%BF%E5%B0%8F%E5%8C%BA.html","查看证据")</f>
        <v/>
      </c>
    </row>
    <row r="296">
      <c r="A296" t="inlineStr">
        <is>
          <t>住宅小区</t>
        </is>
      </c>
      <c r="B296" t="inlineStr">
        <is>
          <t>维用综合楼科苑居小区</t>
        </is>
      </c>
      <c r="C296" t="inlineStr">
        <is>
          <t>1.1</t>
        </is>
      </c>
      <c r="D296" s="5" t="inlineStr">
        <is>
          <t>设置集中分类投放点，摆放可回收物、厨余垃圾、其他垃圾三类收集容器。（6分）</t>
        </is>
      </c>
      <c r="E296" t="inlineStr">
        <is>
          <t>-2</t>
        </is>
      </c>
      <c r="F296" s="5" t="inlineStr">
        <is>
          <t>（3）其他问题说明（备注描述）(-2)（1处问题）</t>
        </is>
      </c>
      <c r="G296">
        <f>HYPERLINK("https://yueling-buddy.github.io/xxr-inspection-album/weeks/2026-09-03/venue/v-%E6%B7%B1%E5%9C%B3%E5%B8%82%E5%8D%97%E5%B1%B1%E5%8C%BA%E7%A7%91%E6%8A%80%E5%9B%AD%E7%A7%91%E5%8F%91%E8%B7%AF10%E5%8F%B7_%E7%BB%B4%E7%94%A8%E7%BB%BC%E5%90%88%E6%A5%BC%E7%A7%91%E8%8B%91%E5%B1%85%E5%B0%8F%E5%8C%BA.html","查看证据")</f>
        <v/>
      </c>
    </row>
    <row r="297">
      <c r="A297" t="inlineStr">
        <is>
          <t>住宅小区</t>
        </is>
      </c>
      <c r="B297" t="inlineStr">
        <is>
          <t>维用综合楼科苑居小区</t>
        </is>
      </c>
      <c r="C297" t="inlineStr">
        <is>
          <t>1.8</t>
        </is>
      </c>
      <c r="D297" s="5" t="inlineStr">
        <is>
          <t>设置公示牌，清晰公示管理责任人和电话、专项垃圾暂存点和废旧织物回收箱位置、厨余垃圾投放时段、各类垃圾收运处理企业等信息。（4分）</t>
        </is>
      </c>
      <c r="E297" t="inlineStr">
        <is>
          <t>-2</t>
        </is>
      </c>
      <c r="F297" s="5" t="inlineStr">
        <is>
          <t>（2）责任公示牌缺失(-2)（1处问题）</t>
        </is>
      </c>
      <c r="G297">
        <f>HYPERLINK("https://yueling-buddy.github.io/xxr-inspection-album/weeks/2026-09-03/venue/v-%E6%B7%B1%E5%9C%B3%E5%B8%82%E5%8D%97%E5%B1%B1%E5%8C%BA%E7%A7%91%E6%8A%80%E5%9B%AD%E7%A7%91%E5%8F%91%E8%B7%AF10%E5%8F%B7_%E7%BB%B4%E7%94%A8%E7%BB%BC%E5%90%88%E6%A5%BC%E7%A7%91%E8%8B%91%E5%B1%85%E5%B0%8F%E5%8C%BA.html","查看证据")</f>
        <v/>
      </c>
    </row>
    <row r="298">
      <c r="A298" t="inlineStr">
        <is>
          <t>住宅小区</t>
        </is>
      </c>
      <c r="B298" t="inlineStr">
        <is>
          <t>维用综合楼科苑居小区</t>
        </is>
      </c>
      <c r="C298" t="inlineStr">
        <is>
          <t>1.13</t>
        </is>
      </c>
      <c r="D298" s="5" t="inlineStr">
        <is>
          <t>收集容器外壁及内桶保持干净整洁，避免陈旧性脏污，收集容器内无积水。（4分）</t>
        </is>
      </c>
      <c r="E298" t="inlineStr">
        <is>
          <t>-2</t>
        </is>
      </c>
      <c r="F298" s="5" t="inlineStr">
        <is>
          <t>（2）收集容器外壁、内桶存在明显陈旧性脏污，大片锈迹等(-2)（1处问题）</t>
        </is>
      </c>
      <c r="G298">
        <f>HYPERLINK("https://yueling-buddy.github.io/xxr-inspection-album/weeks/2026-09-03/venue/v-%E6%B7%B1%E5%9C%B3%E5%B8%82%E5%8D%97%E5%B1%B1%E5%8C%BA%E7%A7%91%E6%8A%80%E5%9B%AD%E7%A7%91%E5%8F%91%E8%B7%AF10%E5%8F%B7_%E7%BB%B4%E7%94%A8%E7%BB%BC%E5%90%88%E6%A5%BC%E7%A7%91%E8%8B%91%E5%B1%85%E5%B0%8F%E5%8C%BA.html","查看证据")</f>
        <v/>
      </c>
    </row>
    <row r="299">
      <c r="A299" t="inlineStr">
        <is>
          <t>住宅小区</t>
        </is>
      </c>
      <c r="B299" t="inlineStr">
        <is>
          <t>维用综合楼科苑居小区</t>
        </is>
      </c>
      <c r="C299" t="inlineStr">
        <is>
          <t>2.3</t>
        </is>
      </c>
      <c r="D299" s="5" t="inlineStr">
        <is>
          <t>各类垃圾及时清运。（2分）</t>
        </is>
      </c>
      <c r="E299" t="inlineStr">
        <is>
          <t>-2</t>
        </is>
      </c>
      <c r="F299" s="5" t="inlineStr">
        <is>
          <t>（2）暂存点内垃圾清运不及时(-2)（1处问题）</t>
        </is>
      </c>
      <c r="G299">
        <f>HYPERLINK("https://yueling-buddy.github.io/xxr-inspection-album/weeks/2026-09-03/venue/v-%E6%B7%B1%E5%9C%B3%E5%B8%82%E5%8D%97%E5%B1%B1%E5%8C%BA%E7%A7%91%E6%8A%80%E5%9B%AD%E7%A7%91%E5%8F%91%E8%B7%AF10%E5%8F%B7_%E7%BB%B4%E7%94%A8%E7%BB%BC%E5%90%88%E6%A5%BC%E7%A7%91%E8%8B%91%E5%B1%85%E5%B0%8F%E5%8C%BA.html","查看证据")</f>
        <v/>
      </c>
    </row>
    <row r="300">
      <c r="A300" t="inlineStr">
        <is>
          <t>住宅小区</t>
        </is>
      </c>
      <c r="B300" t="inlineStr">
        <is>
          <t>维用综合楼科苑居小区</t>
        </is>
      </c>
      <c r="C300" t="inlineStr">
        <is>
          <t>2.4</t>
        </is>
      </c>
      <c r="D300" s="5" t="inlineStr">
        <is>
          <t>暂存点及其周围环境干净整洁，没有污水积聚或散落垃圾，禁止存放易燃易爆危险品，禁止违规接电、住人。（2分）</t>
        </is>
      </c>
      <c r="E300" t="inlineStr">
        <is>
          <t>-2</t>
        </is>
      </c>
      <c r="F300" s="5" t="inlineStr">
        <is>
          <t>（4）暂存点外堆放废旧家具等大件垃圾(-2)（1处问题）</t>
        </is>
      </c>
      <c r="G300">
        <f>HYPERLINK("https://yueling-buddy.github.io/xxr-inspection-album/weeks/2026-09-03/venue/v-%E6%B7%B1%E5%9C%B3%E5%B8%82%E5%8D%97%E5%B1%B1%E5%8C%BA%E7%A7%91%E6%8A%80%E5%9B%AD%E7%A7%91%E5%8F%91%E8%B7%AF10%E5%8F%B7_%E7%BB%B4%E7%94%A8%E7%BB%BC%E5%90%88%E6%A5%BC%E7%A7%91%E8%8B%91%E5%B1%85%E5%B0%8F%E5%8C%BA.html","查看证据")</f>
        <v/>
      </c>
    </row>
    <row r="301">
      <c r="A301" t="inlineStr">
        <is>
          <t>商务写字楼</t>
        </is>
      </c>
      <c r="B301" t="inlineStr">
        <is>
          <t>深圳市东方科技大厦</t>
        </is>
      </c>
      <c r="C301" t="inlineStr">
        <is>
          <t>1.1</t>
        </is>
      </c>
      <c r="D301" s="5" t="inlineStr">
        <is>
          <t>公共区域成组摆放可回收物、其他垃圾收集容器。</t>
        </is>
      </c>
      <c r="E301" t="inlineStr">
        <is>
          <t>-3</t>
        </is>
      </c>
      <c r="F301" s="5" t="inlineStr">
        <is>
          <t>（2）未成组摆放两分类收集容器；(-3)（1处问题）</t>
        </is>
      </c>
      <c r="G301">
        <f>HYPERLINK("https://yueling-buddy.github.io/xxr-inspection-album/weeks/2026-09-03/venue/v-%E5%8D%97%E5%B1%B1%E5%8C%BA%E7%A7%91%E8%8B%91%E8%B7%AF16%E5%8F%B7%E4%B8%9C%E6%96%B9%E7%A7%91%E6%8A%80%E5%A4%A7%E5%8E%A6_%E6%B7%B1%E5%9C%B3%E5%B8%82%E4%B8%9C%E6%96%B9%E7%A7%91%E6%8A%80%E5%A4%A7%E5%8E%A6.html","查看证据")</f>
        <v/>
      </c>
    </row>
    <row r="302">
      <c r="A302" t="inlineStr">
        <is>
          <t>商务写字楼</t>
        </is>
      </c>
      <c r="B302" t="inlineStr">
        <is>
          <t>深圳市东方科技大厦</t>
        </is>
      </c>
      <c r="C302" t="inlineStr">
        <is>
          <t>1.4</t>
        </is>
      </c>
      <c r="D302" s="5" t="inlineStr">
        <is>
          <t>各类收集容器的分类标志完整、正确、清晰。</t>
        </is>
      </c>
      <c r="E302" t="inlineStr">
        <is>
          <t>-6</t>
        </is>
      </c>
      <c r="F302" s="5" t="inlineStr">
        <is>
          <t>（2）收集容器标志缺失、错误或模糊不清的。（不强制要求垃圾桶套袋，若套袋的，收集容器应按垃圾类别对应颜色套袋）(-3)（2处问题）</t>
        </is>
      </c>
      <c r="G302">
        <f>HYPERLINK("https://yueling-buddy.github.io/xxr-inspection-album/weeks/2026-09-03/venue/v-%E5%8D%97%E5%B1%B1%E5%8C%BA%E7%A7%91%E8%8B%91%E8%B7%AF16%E5%8F%B7%E4%B8%9C%E6%96%B9%E7%A7%91%E6%8A%80%E5%A4%A7%E5%8E%A6_%E6%B7%B1%E5%9C%B3%E5%B8%82%E4%B8%9C%E6%96%B9%E7%A7%91%E6%8A%80%E5%A4%A7%E5%8E%A6.html","查看证据")</f>
        <v/>
      </c>
    </row>
    <row r="303">
      <c r="A303" t="inlineStr">
        <is>
          <t>商务写字楼</t>
        </is>
      </c>
      <c r="B303" t="inlineStr">
        <is>
          <t>深圳市东方科技大厦</t>
        </is>
      </c>
      <c r="C303" t="inlineStr">
        <is>
          <t>2.2</t>
        </is>
      </c>
      <c r="D303" s="5" t="inlineStr">
        <is>
          <t>收集容器、暂存点及其周围环境干净整洁，无垃圾满溢、暴露垃圾，无杂物堆放。</t>
        </is>
      </c>
      <c r="E303" t="inlineStr">
        <is>
          <t>-3</t>
        </is>
      </c>
      <c r="F303" s="5" t="inlineStr">
        <is>
          <t>（2）垃圾收集容器满溢、未及时清运(-3)（1处问题）</t>
        </is>
      </c>
      <c r="G303">
        <f>HYPERLINK("https://yueling-buddy.github.io/xxr-inspection-album/weeks/2026-09-03/venue/v-%E5%8D%97%E5%B1%B1%E5%8C%BA%E7%A7%91%E8%8B%91%E8%B7%AF16%E5%8F%B7%E4%B8%9C%E6%96%B9%E7%A7%91%E6%8A%80%E5%A4%A7%E5%8E%A6_%E6%B7%B1%E5%9C%B3%E5%B8%82%E4%B8%9C%E6%96%B9%E7%A7%91%E6%8A%80%E5%A4%A7%E5%8E%A6.html","查看证据")</f>
        <v/>
      </c>
    </row>
    <row r="304">
      <c r="A304" t="inlineStr">
        <is>
          <t>住宅小区</t>
        </is>
      </c>
      <c r="B304" t="inlineStr">
        <is>
          <t>科苑东小区</t>
        </is>
      </c>
      <c r="C304" t="inlineStr">
        <is>
          <t>1.8</t>
        </is>
      </c>
      <c r="D304" s="5" t="inlineStr">
        <is>
          <t>设置公示牌，清晰公示管理责任人和电话、专项垃圾暂存点和废旧织物回收箱位置、厨余垃圾投放时段、各类垃圾收运处理企业等信息。（4分）</t>
        </is>
      </c>
      <c r="E304" t="inlineStr">
        <is>
          <t>-4</t>
        </is>
      </c>
      <c r="F304" s="5" t="inlineStr">
        <is>
          <t>（2）责任公示牌缺失(-2)（1处问题）； （3）公示牌设置不规范（公示牌脱落、内容缺失、错误或模糊等）(-2)（1处问题）</t>
        </is>
      </c>
      <c r="G304">
        <f>HYPERLINK("https://yueling-buddy.github.io/xxr-inspection-album/weeks/2026-09-03/venue/v-%E5%B9%BF%E4%B8%9C%E7%9C%81%E6%B7%B1%E5%9C%B3%E5%B8%82%E5%8D%97%E5%B1%B1%E5%8C%BA%E7%B2%A4%E6%B5%B7%E8%A1%97%E9%81%93%E7%A7%91%E6%8A%80%E5%9B%AD%E7%A4%BE%E5%8C%BA%E8%AD%A6%E5%8A%A1%E5%AE%A4%E7%A7%91%E8%8B%91%E8%8A%B1%E5%9B%AD_%E7%A7%91%E5%8D%8E%E8%B7%AF_%E7%A7%91%E8%8B%91%E4%B8%9C%E5%B0%8F%E5%8C%BA.html","查看证据")</f>
        <v/>
      </c>
    </row>
    <row r="305">
      <c r="A305" t="inlineStr">
        <is>
          <t>住宅小区</t>
        </is>
      </c>
      <c r="B305" t="inlineStr">
        <is>
          <t>科苑东小区</t>
        </is>
      </c>
      <c r="C305" t="inlineStr">
        <is>
          <t>1.15</t>
        </is>
      </c>
      <c r="D305" s="5" t="inlineStr">
        <is>
          <t>投放点均安装具备AI识别功能的视频监控设备，监控视野保持在合理角度。（4分）</t>
        </is>
      </c>
      <c r="E305" t="inlineStr">
        <is>
          <t>-2</t>
        </is>
      </c>
      <c r="F305" s="5" t="inlineStr">
        <is>
          <t>（4）其他问题（备注描述）(-2)（1处问题）</t>
        </is>
      </c>
      <c r="G305">
        <f>HYPERLINK("https://yueling-buddy.github.io/xxr-inspection-album/weeks/2026-09-03/venue/v-%E5%B9%BF%E4%B8%9C%E7%9C%81%E6%B7%B1%E5%9C%B3%E5%B8%82%E5%8D%97%E5%B1%B1%E5%8C%BA%E7%B2%A4%E6%B5%B7%E8%A1%97%E9%81%93%E7%A7%91%E6%8A%80%E5%9B%AD%E7%A4%BE%E5%8C%BA%E8%AD%A6%E5%8A%A1%E5%AE%A4%E7%A7%91%E8%8B%91%E8%8A%B1%E5%9B%AD_%E7%A7%91%E5%8D%8E%E8%B7%AF_%E7%A7%91%E8%8B%91%E4%B8%9C%E5%B0%8F%E5%8C%BA.html","查看证据")</f>
        <v/>
      </c>
    </row>
    <row r="306">
      <c r="A306" t="inlineStr">
        <is>
          <t>住宅小区</t>
        </is>
      </c>
      <c r="B306" t="inlineStr">
        <is>
          <t>科苑东小区</t>
        </is>
      </c>
      <c r="C306" t="inlineStr">
        <is>
          <t>3.2</t>
        </is>
      </c>
      <c r="D306" s="5" t="inlineStr">
        <is>
          <t>暂存点及其周围环境干净整洁，各类桶整齐、密闭摆放，没有污水积聚或散落垃圾。（2分）</t>
        </is>
      </c>
      <c r="E306" t="inlineStr">
        <is>
          <t>-2</t>
        </is>
      </c>
      <c r="F306" s="5" t="inlineStr">
        <is>
          <t>（4）其他问题说明（备注描述）(-2)（1处问题）</t>
        </is>
      </c>
      <c r="G306">
        <f>HYPERLINK("https://yueling-buddy.github.io/xxr-inspection-album/weeks/2026-09-03/venue/v-%E5%B9%BF%E4%B8%9C%E7%9C%81%E6%B7%B1%E5%9C%B3%E5%B8%82%E5%8D%97%E5%B1%B1%E5%8C%BA%E7%B2%A4%E6%B5%B7%E8%A1%97%E9%81%93%E7%A7%91%E6%8A%80%E5%9B%AD%E7%A4%BE%E5%8C%BA%E8%AD%A6%E5%8A%A1%E5%AE%A4%E7%A7%91%E8%8B%91%E8%8A%B1%E5%9B%AD_%E7%A7%91%E5%8D%8E%E8%B7%AF_%E7%A7%91%E8%8B%91%E4%B8%9C%E5%B0%8F%E5%8C%BA.html","查看证据")</f>
        <v/>
      </c>
    </row>
    <row r="307">
      <c r="A307" t="inlineStr">
        <is>
          <t>住宅小区</t>
        </is>
      </c>
      <c r="B307" t="inlineStr">
        <is>
          <t>桑达苑</t>
        </is>
      </c>
      <c r="C307" t="inlineStr">
        <is>
          <t>1.6</t>
        </is>
      </c>
      <c r="D307" s="5" t="inlineStr">
        <is>
          <t>设置洗手设施。（2分）</t>
        </is>
      </c>
      <c r="E307" t="inlineStr">
        <is>
          <t>-1</t>
        </is>
      </c>
      <c r="F307" s="5" t="inlineStr">
        <is>
          <t>（3）洗手设施不规范（包括水龙头损坏或明显松动，水龙头不出水，洗手盆堵塞等）(-1)（1处问题）</t>
        </is>
      </c>
      <c r="G307">
        <f>HYPERLINK("https://yueling-buddy.github.io/xxr-inspection-album/weeks/2026-09-03/venue/v-%E5%B9%BF%E4%B8%9C%E7%9C%81%E6%B7%B1%E5%9C%B3%E5%B8%82%E5%8D%97%E5%B1%B1%E5%8C%BA%E7%B2%A4%E6%B5%B7%E8%A1%97%E9%81%93%E6%A1%91%E8%BE%BE%E8%8B%91_%E6%A1%91%E8%BE%BE%E8%8B%91.html","查看证据")</f>
        <v/>
      </c>
    </row>
    <row r="308">
      <c r="A308" t="inlineStr">
        <is>
          <t>住宅小区</t>
        </is>
      </c>
      <c r="B308" t="inlineStr">
        <is>
          <t>桑达苑</t>
        </is>
      </c>
      <c r="C308" t="inlineStr">
        <is>
          <t>1.8</t>
        </is>
      </c>
      <c r="D308" s="5" t="inlineStr">
        <is>
          <t>设置公示牌，清晰公示管理责任人和电话、专项垃圾暂存点和废旧织物回收箱位置、厨余垃圾投放时段、各类垃圾收运处理企业等信息。（4分）</t>
        </is>
      </c>
      <c r="E308" t="inlineStr">
        <is>
          <t>-2</t>
        </is>
      </c>
      <c r="F308" s="5" t="inlineStr">
        <is>
          <t>（3）公示牌设置不规范（公示牌脱落、内容缺失、错误或模糊等）(-2)（1处问题）</t>
        </is>
      </c>
      <c r="G308">
        <f>HYPERLINK("https://yueling-buddy.github.io/xxr-inspection-album/weeks/2026-09-03/venue/v-%E5%B9%BF%E4%B8%9C%E7%9C%81%E6%B7%B1%E5%9C%B3%E5%B8%82%E5%8D%97%E5%B1%B1%E5%8C%BA%E7%B2%A4%E6%B5%B7%E8%A1%97%E9%81%93%E6%A1%91%E8%BE%BE%E8%8B%91_%E6%A1%91%E8%BE%BE%E8%8B%91.html","查看证据")</f>
        <v/>
      </c>
    </row>
    <row r="309">
      <c r="A309" t="inlineStr">
        <is>
          <t>住宅小区</t>
        </is>
      </c>
      <c r="B309" t="inlineStr">
        <is>
          <t>桑达苑</t>
        </is>
      </c>
      <c r="C309" t="inlineStr">
        <is>
          <t>1.13</t>
        </is>
      </c>
      <c r="D309" s="5" t="inlineStr">
        <is>
          <t>收集容器外壁及内桶保持干净整洁，避免陈旧性脏污，收集容器内无积水。（4分）</t>
        </is>
      </c>
      <c r="E309" t="inlineStr">
        <is>
          <t>-2</t>
        </is>
      </c>
      <c r="F309" s="5" t="inlineStr">
        <is>
          <t>（2）收集容器外壁、内桶存在明显陈旧性脏污，大片锈迹等(-2)（1处问题）</t>
        </is>
      </c>
      <c r="G309">
        <f>HYPERLINK("https://yueling-buddy.github.io/xxr-inspection-album/weeks/2026-09-03/venue/v-%E5%B9%BF%E4%B8%9C%E7%9C%81%E6%B7%B1%E5%9C%B3%E5%B8%82%E5%8D%97%E5%B1%B1%E5%8C%BA%E7%B2%A4%E6%B5%B7%E8%A1%97%E9%81%93%E6%A1%91%E8%BE%BE%E8%8B%91_%E6%A1%91%E8%BE%BE%E8%8B%91.html","查看证据")</f>
        <v/>
      </c>
    </row>
    <row r="310">
      <c r="A310" t="inlineStr">
        <is>
          <t>住宅小区</t>
        </is>
      </c>
      <c r="B310" t="inlineStr">
        <is>
          <t>南景南约新村</t>
        </is>
      </c>
      <c r="C310" t="inlineStr">
        <is>
          <t>1.4</t>
        </is>
      </c>
      <c r="D310" s="5" t="inlineStr">
        <is>
          <t>至少设置一处厨余垃圾误时投放点，张贴误时投放点标识，并保持24小时开放。（2分）</t>
        </is>
      </c>
      <c r="E310" t="inlineStr">
        <is>
          <t>-2</t>
        </is>
      </c>
      <c r="F310" s="5" t="inlineStr">
        <is>
          <t>否(-2)（1处问题）</t>
        </is>
      </c>
      <c r="G310">
        <f>HYPERLINK("https://yueling-buddy.github.io/xxr-inspection-album/weeks/2026-09-03/venue/v-%E9%BE%99%E5%B2%97%E5%8C%BA%E5%AE%9D%E9%BE%99%E8%A1%97%E9%81%93%E9%AB%98%E7%A7%91%E5%A4%A7%E9%81%9388%E5%8F%B7%E5%8D%97%E6%99%AF%E5%8D%97%E7%BA%A6%E6%96%B0%E6%9D%91_%E5%8D%97%E6%99%AF%E5%8D%97%E7%BA%A6%E6%96%B0%E6%9D%91.html","查看证据")</f>
        <v/>
      </c>
    </row>
    <row r="311">
      <c r="A311" t="inlineStr">
        <is>
          <t>住宅小区</t>
        </is>
      </c>
      <c r="B311" t="inlineStr">
        <is>
          <t>南景南约新村</t>
        </is>
      </c>
      <c r="C311" t="inlineStr">
        <is>
          <t>2.4</t>
        </is>
      </c>
      <c r="D311" s="5" t="inlineStr">
        <is>
          <t>暂存点及其周围环境干净整洁，没有污水积聚或散落垃圾，禁止存放易燃易爆危险品，禁止违规接电、住人。（2分）</t>
        </is>
      </c>
      <c r="E311" t="inlineStr">
        <is>
          <t>-2</t>
        </is>
      </c>
      <c r="F311" s="5" t="inlineStr">
        <is>
          <t>（4）暂存点外堆放废旧家具等大件垃圾(-2)（1处问题）</t>
        </is>
      </c>
      <c r="G311">
        <f>HYPERLINK("https://yueling-buddy.github.io/xxr-inspection-album/weeks/2026-09-03/venue/v-%E9%BE%99%E5%B2%97%E5%8C%BA%E5%AE%9D%E9%BE%99%E8%A1%97%E9%81%93%E9%AB%98%E7%A7%91%E5%A4%A7%E9%81%9388%E5%8F%B7%E5%8D%97%E6%99%AF%E5%8D%97%E7%BA%A6%E6%96%B0%E6%9D%91_%E5%8D%97%E6%99%AF%E5%8D%97%E7%BA%A6%E6%96%B0%E6%9D%91.html","查看证据")</f>
        <v/>
      </c>
    </row>
    <row r="312">
      <c r="A312" t="inlineStr">
        <is>
          <t>城中村</t>
        </is>
      </c>
      <c r="B312" t="inlineStr">
        <is>
          <t>石桥头</t>
        </is>
      </c>
      <c r="C312" t="inlineStr">
        <is>
          <t>1.6</t>
        </is>
      </c>
      <c r="D312" s="5" t="inlineStr">
        <is>
          <t>设置洗手设施。（2分）</t>
        </is>
      </c>
      <c r="E312" t="inlineStr">
        <is>
          <t>-1</t>
        </is>
      </c>
      <c r="F312" s="5" t="inlineStr">
        <is>
          <t>（3）洗手设施不规范（包括水龙头损坏或明显松动，水龙头不出水，洗手盆堵塞等）(-1)（1处问题）</t>
        </is>
      </c>
      <c r="G312">
        <f>HYPERLINK("https://yueling-buddy.github.io/xxr-inspection-album/weeks/2026-09-03/venue/v-%E8%91%B5%E5%8D%97%E8%B7%AF110%E7%9F%B3%E6%A1%A5%E5%A4%B4%E5%B0%8F%E5%8C%BA_%E7%9F%B3%E6%A1%A5%E5%A4%B4.html","查看证据")</f>
        <v/>
      </c>
    </row>
    <row r="313">
      <c r="A313" t="inlineStr">
        <is>
          <t>城中村</t>
        </is>
      </c>
      <c r="B313" t="inlineStr">
        <is>
          <t>石桥头</t>
        </is>
      </c>
      <c r="C313" t="inlineStr">
        <is>
          <t>1.15</t>
        </is>
      </c>
      <c r="D313" s="5" t="inlineStr">
        <is>
          <t>投放点均安装具备AI识别功能的视频监控设备，监控视野保持在合理角度。（4分）</t>
        </is>
      </c>
      <c r="E313" t="inlineStr">
        <is>
          <t>-2</t>
        </is>
      </c>
      <c r="F313" s="5" t="inlineStr">
        <is>
          <t>（2）投放点未安装智慧视频监控设备(-2)（1处问题）</t>
        </is>
      </c>
      <c r="G313">
        <f>HYPERLINK("https://yueling-buddy.github.io/xxr-inspection-album/weeks/2026-09-03/venue/v-%E8%91%B5%E5%8D%97%E8%B7%AF110%E7%9F%B3%E6%A1%A5%E5%A4%B4%E5%B0%8F%E5%8C%BA_%E7%9F%B3%E6%A1%A5%E5%A4%B4.html","查看证据")</f>
        <v/>
      </c>
    </row>
    <row r="314">
      <c r="A314" t="inlineStr">
        <is>
          <t>城中村</t>
        </is>
      </c>
      <c r="B314" t="inlineStr">
        <is>
          <t>石桥头</t>
        </is>
      </c>
      <c r="C314" t="inlineStr">
        <is>
          <t>1.17</t>
        </is>
      </c>
      <c r="D314" s="5" t="inlineStr">
        <is>
          <t>转运桶应在黄线划定区域内摆放整齐并保持全天关闭（作业状态除外），禁止罩外摆桶供居民投放。（6分）</t>
        </is>
      </c>
      <c r="E314" t="inlineStr">
        <is>
          <t>-2</t>
        </is>
      </c>
      <c r="F314" s="5" t="inlineStr">
        <is>
          <t>（3）监控范围外罩外摆桶并开盖供居民投放(-2)（1处问题）</t>
        </is>
      </c>
      <c r="G314">
        <f>HYPERLINK("https://yueling-buddy.github.io/xxr-inspection-album/weeks/2026-09-03/venue/v-%E8%91%B5%E5%8D%97%E8%B7%AF110%E7%9F%B3%E6%A1%A5%E5%A4%B4%E5%B0%8F%E5%8C%BA_%E7%9F%B3%E6%A1%A5%E5%A4%B4.html","查看证据")</f>
        <v/>
      </c>
    </row>
    <row r="315">
      <c r="A315" t="inlineStr">
        <is>
          <t>城中村</t>
        </is>
      </c>
      <c r="B315" t="inlineStr">
        <is>
          <t>石桥头</t>
        </is>
      </c>
      <c r="C315" t="inlineStr">
        <is>
          <t>1.18</t>
        </is>
      </c>
      <c r="D315" s="5" t="inlineStr">
        <is>
          <t>禁止在楼层、地面或车库等设置分散式垃圾收集容器。（4分）</t>
        </is>
      </c>
      <c r="E315" t="inlineStr">
        <is>
          <t>-5</t>
        </is>
      </c>
      <c r="F315" s="5" t="inlineStr">
        <is>
          <t>（2）设置分散式垃圾收集容器（随意摆桶未划黄线）(-5)（1处问题）</t>
        </is>
      </c>
      <c r="G315">
        <f>HYPERLINK("https://yueling-buddy.github.io/xxr-inspection-album/weeks/2026-09-03/venue/v-%E8%91%B5%E5%8D%97%E8%B7%AF110%E7%9F%B3%E6%A1%A5%E5%A4%B4%E5%B0%8F%E5%8C%BA_%E7%9F%B3%E6%A1%A5%E5%A4%B4.html","查看证据")</f>
        <v/>
      </c>
    </row>
    <row r="316">
      <c r="A316" t="inlineStr">
        <is>
          <t>城中村</t>
        </is>
      </c>
      <c r="B316" t="inlineStr">
        <is>
          <t>石桥头</t>
        </is>
      </c>
      <c r="C316" t="inlineStr">
        <is>
          <t>2.2</t>
        </is>
      </c>
      <c r="D316" s="5" t="inlineStr">
        <is>
          <t>设置消防设施，使用功能正常，取用方便。（2分）</t>
        </is>
      </c>
      <c r="E316" t="inlineStr">
        <is>
          <t>-2</t>
        </is>
      </c>
      <c r="F316" s="5" t="inlineStr">
        <is>
          <t>（2）消防设施不规范（设备缺失、破损严重/过期等）(-2)（1处问题）</t>
        </is>
      </c>
      <c r="G316">
        <f>HYPERLINK("https://yueling-buddy.github.io/xxr-inspection-album/weeks/2026-09-03/venue/v-%E8%91%B5%E5%8D%97%E8%B7%AF110%E7%9F%B3%E6%A1%A5%E5%A4%B4%E5%B0%8F%E5%8C%BA_%E7%9F%B3%E6%A1%A5%E5%A4%B4.html","查看证据")</f>
        <v/>
      </c>
    </row>
    <row r="317">
      <c r="A317" t="inlineStr">
        <is>
          <t>城中村</t>
        </is>
      </c>
      <c r="B317" t="inlineStr">
        <is>
          <t>石桥头</t>
        </is>
      </c>
      <c r="C317" t="inlineStr">
        <is>
          <t>2.4</t>
        </is>
      </c>
      <c r="D317" s="5" t="inlineStr">
        <is>
          <t>暂存点及其周围环境干净整洁，没有污水积聚或散落垃圾，禁止存放易燃易爆危险品，禁止违规接电、住人。（2分）</t>
        </is>
      </c>
      <c r="E317" t="inlineStr">
        <is>
          <t>-2</t>
        </is>
      </c>
      <c r="F317" s="5" t="inlineStr">
        <is>
          <t>（2）暂存点及周围环境不整洁（垃圾堆放杂乱、垃圾散落、地面污水积聚等）(-2)（1处问题）</t>
        </is>
      </c>
      <c r="G317">
        <f>HYPERLINK("https://yueling-buddy.github.io/xxr-inspection-album/weeks/2026-09-03/venue/v-%E8%91%B5%E5%8D%97%E8%B7%AF110%E7%9F%B3%E6%A1%A5%E5%A4%B4%E5%B0%8F%E5%8C%BA_%E7%9F%B3%E6%A1%A5%E5%A4%B4.html","查看证据")</f>
        <v/>
      </c>
    </row>
    <row r="318">
      <c r="A318" t="inlineStr">
        <is>
          <t>城中村</t>
        </is>
      </c>
      <c r="B318" t="inlineStr">
        <is>
          <t>石桥头</t>
        </is>
      </c>
      <c r="C318" t="inlineStr">
        <is>
          <t>3.1</t>
        </is>
      </c>
      <c r="D318" s="5" t="inlineStr">
        <is>
          <t>各类垃圾及时清运。（2分）</t>
        </is>
      </c>
      <c r="E318" t="inlineStr">
        <is>
          <t>-2</t>
        </is>
      </c>
      <c r="F318" s="5" t="inlineStr">
        <is>
          <t>（2）暂存点内垃圾清运不及时(-2)（1处问题）</t>
        </is>
      </c>
      <c r="G318">
        <f>HYPERLINK("https://yueling-buddy.github.io/xxr-inspection-album/weeks/2026-09-03/venue/v-%E8%91%B5%E5%8D%97%E8%B7%AF110%E7%9F%B3%E6%A1%A5%E5%A4%B4%E5%B0%8F%E5%8C%BA_%E7%9F%B3%E6%A1%A5%E5%A4%B4.html","查看证据")</f>
        <v/>
      </c>
    </row>
    <row r="319">
      <c r="A319" t="inlineStr">
        <is>
          <t>城中村</t>
        </is>
      </c>
      <c r="B319" t="inlineStr">
        <is>
          <t>南约社区联和村</t>
        </is>
      </c>
      <c r="C319" t="inlineStr">
        <is>
          <t>1.5</t>
        </is>
      </c>
      <c r="D319" s="5" t="inlineStr">
        <is>
          <t>分类标志完整、正确、清晰，各类垃圾收集容器外罩和内桶的颜色正确。（4分）</t>
        </is>
      </c>
      <c r="E319" t="inlineStr">
        <is>
          <t>-2</t>
        </is>
      </c>
      <c r="F319" s="5" t="inlineStr">
        <is>
          <t>（2）分类桶标志缺失或不规范（标志未更新、标志错误、标志模糊等）(-2)（1处问题）</t>
        </is>
      </c>
      <c r="G319">
        <f>HYPERLINK("https://yueling-buddy.github.io/xxr-inspection-album/weeks/2026-09-03/venue/v-%E6%B7%B1%E5%9C%B3%E5%B8%82%E9%BE%99%E5%B2%97%E5%8C%BA%E5%AE%9D%E9%BE%99%E8%A1%97%E9%81%93%E5%8D%97%E7%BA%A6%E7%A4%BE%E5%8C%BA%E8%81%94%E5%92%8C%E5%8A%9E%E5%85%AC%E5%AE%A4201_%E5%8D%97%E7%BA%A6%E7%A4%BE%E5%8C%BA%E8%81%94%E5%92%8C%E6%9D%91.html","查看证据")</f>
        <v/>
      </c>
    </row>
    <row r="320">
      <c r="A320" t="inlineStr">
        <is>
          <t>城中村</t>
        </is>
      </c>
      <c r="B320" t="inlineStr">
        <is>
          <t>南约社区联和村</t>
        </is>
      </c>
      <c r="C320" t="inlineStr">
        <is>
          <t>4.2</t>
        </is>
      </c>
      <c r="D320" s="5" t="inlineStr">
        <is>
          <t>箱体外观应使用“深i回收”标识，并公示备案编号、监管电话、回收电话等信息，回收电话真实有效，提供预约回收服务。（1分）</t>
        </is>
      </c>
      <c r="E320" t="inlineStr">
        <is>
          <t>-1</t>
        </is>
      </c>
      <c r="F320" s="5" t="inlineStr">
        <is>
          <t>（2）未使用(-1)（1处问题）</t>
        </is>
      </c>
      <c r="G320">
        <f>HYPERLINK("https://yueling-buddy.github.io/xxr-inspection-album/weeks/2026-09-03/venue/v-%E6%B7%B1%E5%9C%B3%E5%B8%82%E9%BE%99%E5%B2%97%E5%8C%BA%E5%AE%9D%E9%BE%99%E8%A1%97%E9%81%93%E5%8D%97%E7%BA%A6%E7%A4%BE%E5%8C%BA%E8%81%94%E5%92%8C%E5%8A%9E%E5%85%AC%E5%AE%A4201_%E5%8D%97%E7%BA%A6%E7%A4%BE%E5%8C%BA%E8%81%94%E5%92%8C%E6%9D%91.html","查看证据")</f>
        <v/>
      </c>
    </row>
    <row r="321">
      <c r="A321" t="inlineStr">
        <is>
          <t>城中村</t>
        </is>
      </c>
      <c r="B321" t="inlineStr">
        <is>
          <t>新屋园</t>
        </is>
      </c>
      <c r="C321" t="inlineStr">
        <is>
          <t>1.6</t>
        </is>
      </c>
      <c r="D321" s="5" t="inlineStr">
        <is>
          <t>设置洗手设施。（2分）</t>
        </is>
      </c>
      <c r="E321" t="inlineStr">
        <is>
          <t>-1</t>
        </is>
      </c>
      <c r="F321" s="5" t="inlineStr">
        <is>
          <t>（2）洗手设施缺失(-1)（1处问题）</t>
        </is>
      </c>
      <c r="G321">
        <f>HYPERLINK("https://yueling-buddy.github.io/xxr-inspection-album/weeks/2026-09-03/venue/v-%E5%A4%A7%E9%B9%8F%E6%96%B0%E5%8C%BA%E5%A4%A7%E9%B9%8F%E8%A1%97%E9%81%93%E5%B8%83%E6%96%B0%E8%B7%AF84%E5%8F%B7_%E6%96%B0%E5%B1%8B%E5%9B%AD.html","查看证据")</f>
        <v/>
      </c>
    </row>
    <row r="322">
      <c r="A322" t="inlineStr">
        <is>
          <t>城中村</t>
        </is>
      </c>
      <c r="B322" t="inlineStr">
        <is>
          <t>新屋园</t>
        </is>
      </c>
      <c r="C322" t="inlineStr">
        <is>
          <t>1.13</t>
        </is>
      </c>
      <c r="D322" s="5" t="inlineStr">
        <is>
          <t>收集容器外壁及内桶保持干净整洁，避免陈旧性脏污，收集容器内无积水。（6分）</t>
        </is>
      </c>
      <c r="E322" t="inlineStr">
        <is>
          <t>-3</t>
        </is>
      </c>
      <c r="F322" s="5" t="inlineStr">
        <is>
          <t>（2）收集容器外壁、内桶存在明显陈旧性脏污，大片锈迹等(-3)（1处问题）</t>
        </is>
      </c>
      <c r="G322">
        <f>HYPERLINK("https://yueling-buddy.github.io/xxr-inspection-album/weeks/2026-09-03/venue/v-%E5%A4%A7%E9%B9%8F%E6%96%B0%E5%8C%BA%E5%A4%A7%E9%B9%8F%E8%A1%97%E9%81%93%E5%B8%83%E6%96%B0%E8%B7%AF84%E5%8F%B7_%E6%96%B0%E5%B1%8B%E5%9B%AD.html","查看证据")</f>
        <v/>
      </c>
    </row>
    <row r="323">
      <c r="A323" t="inlineStr">
        <is>
          <t>城中村</t>
        </is>
      </c>
      <c r="B323" t="inlineStr">
        <is>
          <t>新屋园</t>
        </is>
      </c>
      <c r="C323" t="inlineStr">
        <is>
          <t>2.2</t>
        </is>
      </c>
      <c r="D323" s="5" t="inlineStr">
        <is>
          <t>设置消防设施，使用功能正常，取用方便。（2分）</t>
        </is>
      </c>
      <c r="E323" t="inlineStr">
        <is>
          <t>-2</t>
        </is>
      </c>
      <c r="F323" s="5" t="inlineStr">
        <is>
          <t>（2）消防设施不规范（设备缺失、破损严重/过期等）(-2)（1处问题）</t>
        </is>
      </c>
      <c r="G323">
        <f>HYPERLINK("https://yueling-buddy.github.io/xxr-inspection-album/weeks/2026-09-03/venue/v-%E5%A4%A7%E9%B9%8F%E6%96%B0%E5%8C%BA%E5%A4%A7%E9%B9%8F%E8%A1%97%E9%81%93%E5%B8%83%E6%96%B0%E8%B7%AF84%E5%8F%B7_%E6%96%B0%E5%B1%8B%E5%9B%AD.html","查看证据")</f>
        <v/>
      </c>
    </row>
    <row r="324">
      <c r="A324" t="inlineStr">
        <is>
          <t>城中村</t>
        </is>
      </c>
      <c r="B324" t="inlineStr">
        <is>
          <t>新屋园</t>
        </is>
      </c>
      <c r="C324" t="inlineStr">
        <is>
          <t>2.4</t>
        </is>
      </c>
      <c r="D324" s="5" t="inlineStr">
        <is>
          <t>暂存点及其周围环境干净整洁，没有污水积聚或散落垃圾，禁止存放易燃易爆危险品，禁止违规接电、住人。（2分）</t>
        </is>
      </c>
      <c r="E324" t="inlineStr">
        <is>
          <t>-2</t>
        </is>
      </c>
      <c r="F324" s="5" t="inlineStr">
        <is>
          <t>（2）暂存点及周围环境不整洁（垃圾堆放杂乱、垃圾散落、地面污水积聚等）(-2)（1处问题）</t>
        </is>
      </c>
      <c r="G324">
        <f>HYPERLINK("https://yueling-buddy.github.io/xxr-inspection-album/weeks/2026-09-03/venue/v-%E5%A4%A7%E9%B9%8F%E6%96%B0%E5%8C%BA%E5%A4%A7%E9%B9%8F%E8%A1%97%E9%81%93%E5%B8%83%E6%96%B0%E8%B7%AF84%E5%8F%B7_%E6%96%B0%E5%B1%8B%E5%9B%AD.html","查看证据")</f>
        <v/>
      </c>
    </row>
    <row r="325">
      <c r="A325" t="inlineStr">
        <is>
          <t>城中村</t>
        </is>
      </c>
      <c r="B325" t="inlineStr">
        <is>
          <t>布锦村</t>
        </is>
      </c>
      <c r="C325" t="inlineStr">
        <is>
          <t>1.6</t>
        </is>
      </c>
      <c r="D325" s="5" t="inlineStr">
        <is>
          <t>设置洗手设施。（2分）</t>
        </is>
      </c>
      <c r="E325" t="inlineStr">
        <is>
          <t>-1</t>
        </is>
      </c>
      <c r="F325" s="5" t="inlineStr">
        <is>
          <t>（3）洗手设施不规范（包括水龙头损坏或明显松动，水龙头不出水，洗手盆堵塞等）(-1)（1处问题）</t>
        </is>
      </c>
      <c r="G325">
        <f>HYPERLINK("https://yueling-buddy.github.io/xxr-inspection-album/weeks/2026-09-03/venue/v-%E5%B8%83%E6%96%B0%E8%B7%AF91_5_%E5%B8%83%E9%94%A6%E6%9D%91.html","查看证据")</f>
        <v/>
      </c>
    </row>
    <row r="326">
      <c r="A326" t="inlineStr">
        <is>
          <t>城中村</t>
        </is>
      </c>
      <c r="B326" t="inlineStr">
        <is>
          <t>布锦村</t>
        </is>
      </c>
      <c r="C326" t="inlineStr">
        <is>
          <t>1.16</t>
        </is>
      </c>
      <c r="D326" s="5" t="inlineStr">
        <is>
          <t>禁止通过捆绑、卡挡或上锁等方式封闭或遮挡投放口。（4分）</t>
        </is>
      </c>
      <c r="E326" t="inlineStr">
        <is>
          <t>-2</t>
        </is>
      </c>
      <c r="F326" s="5" t="inlineStr">
        <is>
          <t>（4）误时投放点未开放(-2)（1处问题）</t>
        </is>
      </c>
      <c r="G326">
        <f>HYPERLINK("https://yueling-buddy.github.io/xxr-inspection-album/weeks/2026-09-03/venue/v-%E5%B8%83%E6%96%B0%E8%B7%AF91_5_%E5%B8%83%E9%94%A6%E6%9D%91.html","查看证据")</f>
        <v/>
      </c>
    </row>
    <row r="327">
      <c r="A327" t="inlineStr">
        <is>
          <t>城中村</t>
        </is>
      </c>
      <c r="B327" t="inlineStr">
        <is>
          <t>布锦村</t>
        </is>
      </c>
      <c r="C327" t="inlineStr">
        <is>
          <t>1.17</t>
        </is>
      </c>
      <c r="D327" s="5" t="inlineStr">
        <is>
          <t>转运桶应在黄线划定区域内摆放整齐并保持全天关闭（作业状态除外），禁止罩外摆桶供居民投放。（6分）</t>
        </is>
      </c>
      <c r="E327" t="inlineStr">
        <is>
          <t>-2</t>
        </is>
      </c>
      <c r="F327" s="5" t="inlineStr">
        <is>
          <t>（3）监控范围外罩外摆桶并开盖供居民投放(-2)（1处问题）</t>
        </is>
      </c>
      <c r="G327">
        <f>HYPERLINK("https://yueling-buddy.github.io/xxr-inspection-album/weeks/2026-09-03/venue/v-%E5%B8%83%E6%96%B0%E8%B7%AF91_5_%E5%B8%83%E9%94%A6%E6%9D%91.html","查看证据")</f>
        <v/>
      </c>
    </row>
    <row r="328">
      <c r="A328" t="inlineStr">
        <is>
          <t>城中村</t>
        </is>
      </c>
      <c r="B328" t="inlineStr">
        <is>
          <t>南坑埔</t>
        </is>
      </c>
      <c r="C328" t="inlineStr">
        <is>
          <t>2.2</t>
        </is>
      </c>
      <c r="D328" s="5" t="inlineStr">
        <is>
          <t>设置消防设施，使用功能正常，取用方便。（2分）</t>
        </is>
      </c>
      <c r="E328" t="inlineStr">
        <is>
          <t>-2</t>
        </is>
      </c>
      <c r="F328" s="5" t="inlineStr">
        <is>
          <t>（2）消防设施不规范（设备缺失、破损严重/过期等）(-2)（1处问题）</t>
        </is>
      </c>
      <c r="G328">
        <f>HYPERLINK("https://yueling-buddy.github.io/xxr-inspection-album/weeks/2026-09-03/venue/v-%E5%B8%83%E6%96%B0%E8%B7%AF130%E5%8F%B7_%E5%8D%97%E5%9D%91%E5%9F%94.html","查看证据")</f>
        <v/>
      </c>
    </row>
    <row r="329">
      <c r="A329" t="inlineStr">
        <is>
          <t>住宅小区</t>
        </is>
      </c>
      <c r="B329" t="inlineStr">
        <is>
          <t>布新统建楼</t>
        </is>
      </c>
      <c r="C329" t="inlineStr">
        <is>
          <t>1.14</t>
        </is>
      </c>
      <c r="D329" s="5" t="inlineStr">
        <is>
          <t>各类垃圾及时清运，投放点及其周围环境干净整洁，没有垃圾满溢、暴露垃圾、杂物堆放、严重积水或明显异味等问题。（6分）</t>
        </is>
      </c>
      <c r="E329" t="inlineStr">
        <is>
          <t>-2</t>
        </is>
      </c>
      <c r="F329" s="5" t="inlineStr">
        <is>
          <t>（3）环境卫生不整洁（投放点有暴露垃圾、杂物堆放，洗手池严重脏污，地面未硬底化，有明显污水污渍等）(-2)（1处问题）</t>
        </is>
      </c>
      <c r="G329">
        <f>HYPERLINK("https://yueling-buddy.github.io/xxr-inspection-album/weeks/2026-09-03/venue/v-%E5%B9%BF%E4%B8%9C%E7%9C%81%E6%B7%B1%E5%9C%B3%E5%B8%82%E9%BE%99%E5%B2%97%E5%8C%BA%E5%A4%A7%E9%B9%8F%E8%A1%97%E9%81%93%E5%B8%83%E6%96%B0%E7%BB%9F%E5%BB%BA%E6%A5%BC_%E5%B8%83%E6%96%B0%E7%BB%9F%E5%BB%BA%E6%A5%BC.html","查看证据")</f>
        <v/>
      </c>
    </row>
    <row r="330">
      <c r="A330" t="inlineStr">
        <is>
          <t>住宅小区</t>
        </is>
      </c>
      <c r="B330" t="inlineStr">
        <is>
          <t>布新统建楼</t>
        </is>
      </c>
      <c r="C330" t="inlineStr">
        <is>
          <t>2.3</t>
        </is>
      </c>
      <c r="D330" s="5" t="inlineStr">
        <is>
          <t>各类垃圾及时清运。（2分）</t>
        </is>
      </c>
      <c r="E330" t="inlineStr">
        <is>
          <t>-2</t>
        </is>
      </c>
      <c r="F330" s="5" t="inlineStr">
        <is>
          <t>（2）暂存点内垃圾清运不及时(-2)（1处问题）</t>
        </is>
      </c>
      <c r="G330">
        <f>HYPERLINK("https://yueling-buddy.github.io/xxr-inspection-album/weeks/2026-09-03/venue/v-%E5%B9%BF%E4%B8%9C%E7%9C%81%E6%B7%B1%E5%9C%B3%E5%B8%82%E9%BE%99%E5%B2%97%E5%8C%BA%E5%A4%A7%E9%B9%8F%E8%A1%97%E9%81%93%E5%B8%83%E6%96%B0%E7%BB%9F%E5%BB%BA%E6%A5%BC_%E5%B8%83%E6%96%B0%E7%BB%9F%E5%BB%BA%E6%A5%BC.html","查看证据")</f>
        <v/>
      </c>
    </row>
    <row r="331">
      <c r="A331" t="inlineStr">
        <is>
          <t>城中村</t>
        </is>
      </c>
      <c r="B331" t="inlineStr">
        <is>
          <t>水贝村</t>
        </is>
      </c>
      <c r="C331" t="inlineStr">
        <is>
          <t>1.17</t>
        </is>
      </c>
      <c r="D331" s="5" t="inlineStr">
        <is>
          <t>转运桶应在黄线划定区域内摆放整齐并保持全天关闭（作业状态除外），禁止罩外摆桶供居民投放。（6分）</t>
        </is>
      </c>
      <c r="E331" t="inlineStr">
        <is>
          <t>-2</t>
        </is>
      </c>
      <c r="F331" s="5" t="inlineStr">
        <is>
          <t>（3）监控范围外罩外摆桶并开盖供居民投放(-2)（1处问题）</t>
        </is>
      </c>
      <c r="G331">
        <f>HYPERLINK("https://yueling-buddy.github.io/xxr-inspection-album/weeks/2026-09-03/venue/v-%E5%A4%A7%E9%B9%8F%E8%A1%97%E9%81%93%E5%B8%83%E6%96%B0%E7%A4%BE%E5%8C%BA%E6%B0%B4%E8%B4%9D%E6%9D%91_%E6%B0%B4%E8%B4%9D%E6%9D%91.html","查看证据")</f>
        <v/>
      </c>
    </row>
    <row r="332">
      <c r="A332" t="inlineStr">
        <is>
          <t>城中村</t>
        </is>
      </c>
      <c r="B332" t="inlineStr">
        <is>
          <t>水贝村</t>
        </is>
      </c>
      <c r="C332" t="inlineStr">
        <is>
          <t>1.18</t>
        </is>
      </c>
      <c r="D332" s="5" t="inlineStr">
        <is>
          <t>禁止在楼层、地面或车库等设置分散式垃圾收集容器。（4分）</t>
        </is>
      </c>
      <c r="E332" t="inlineStr">
        <is>
          <t>-5</t>
        </is>
      </c>
      <c r="F332" s="5" t="inlineStr">
        <is>
          <t>（2）设置分散式垃圾收集容器（随意摆桶未划黄线）(-5)（1处问题）</t>
        </is>
      </c>
      <c r="G332">
        <f>HYPERLINK("https://yueling-buddy.github.io/xxr-inspection-album/weeks/2026-09-03/venue/v-%E5%A4%A7%E9%B9%8F%E8%A1%97%E9%81%93%E5%B8%83%E6%96%B0%E7%A4%BE%E5%8C%BA%E6%B0%B4%E8%B4%9D%E6%9D%91_%E6%B0%B4%E8%B4%9D%E6%9D%91.html","查看证据")</f>
        <v/>
      </c>
    </row>
    <row r="333">
      <c r="A333" t="inlineStr">
        <is>
          <t>住宅小区</t>
        </is>
      </c>
      <c r="B333" t="inlineStr">
        <is>
          <t>卓越皇后道</t>
        </is>
      </c>
      <c r="C333" t="inlineStr">
        <is>
          <t>1.4</t>
        </is>
      </c>
      <c r="D333" s="5" t="inlineStr">
        <is>
          <t>至少设置一处厨余垃圾误时投放点，张贴误时投放点标识，并保持24小时开放。（2分）</t>
        </is>
      </c>
      <c r="E333" t="inlineStr">
        <is>
          <t>-2</t>
        </is>
      </c>
      <c r="F333" s="5" t="inlineStr">
        <is>
          <t>否(-2)（1处问题）</t>
        </is>
      </c>
      <c r="G333">
        <f>HYPERLINK("https://yueling-buddy.github.io/xxr-inspection-album/weeks/2026-09-03/venue/v-%E9%BE%99%E5%8D%8E%E5%8C%BA%E6%B0%91%E6%B2%BB%E8%A1%97%E9%81%93%E9%BE%99%E5%A1%98%E7%A4%BE%E5%8C%BA%E5%8D%93%E8%B6%8A%E7%9A%87%E5%90%8E%E9%81%93_%E5%8D%93%E8%B6%8A%E7%9A%87%E5%90%8E%E9%81%93.html","查看证据")</f>
        <v/>
      </c>
    </row>
    <row r="334">
      <c r="A334" t="inlineStr">
        <is>
          <t>住宅小区</t>
        </is>
      </c>
      <c r="B334" t="inlineStr">
        <is>
          <t>卓越皇后道</t>
        </is>
      </c>
      <c r="C334" t="inlineStr">
        <is>
          <t>1.16</t>
        </is>
      </c>
      <c r="D334" s="5" t="inlineStr">
        <is>
          <t>禁止通过捆绑、卡挡或上锁等方式封闭或遮挡投放口。（4分）</t>
        </is>
      </c>
      <c r="E334" t="inlineStr">
        <is>
          <t>-2</t>
        </is>
      </c>
      <c r="F334" s="5" t="inlineStr">
        <is>
          <t>（5）其他问题(-2)（1处问题）</t>
        </is>
      </c>
      <c r="G334">
        <f>HYPERLINK("https://yueling-buddy.github.io/xxr-inspection-album/weeks/2026-09-03/venue/v-%E9%BE%99%E5%8D%8E%E5%8C%BA%E6%B0%91%E6%B2%BB%E8%A1%97%E9%81%93%E9%BE%99%E5%A1%98%E7%A4%BE%E5%8C%BA%E5%8D%93%E8%B6%8A%E7%9A%87%E5%90%8E%E9%81%93_%E5%8D%93%E8%B6%8A%E7%9A%87%E5%90%8E%E9%81%93.html","查看证据")</f>
        <v/>
      </c>
    </row>
    <row r="335">
      <c r="A335" t="inlineStr">
        <is>
          <t>住宅小区</t>
        </is>
      </c>
      <c r="B335" t="inlineStr">
        <is>
          <t>卓越皇后道</t>
        </is>
      </c>
      <c r="C335" t="inlineStr">
        <is>
          <t>2.3</t>
        </is>
      </c>
      <c r="D335" s="5" t="inlineStr">
        <is>
          <t>各类垃圾及时清运。（2分）</t>
        </is>
      </c>
      <c r="E335" t="inlineStr">
        <is>
          <t>-2</t>
        </is>
      </c>
      <c r="F335" s="5" t="inlineStr">
        <is>
          <t>（2）暂存点内垃圾清运不及时(-2)（1处问题）</t>
        </is>
      </c>
      <c r="G335">
        <f>HYPERLINK("https://yueling-buddy.github.io/xxr-inspection-album/weeks/2026-09-03/venue/v-%E9%BE%99%E5%8D%8E%E5%8C%BA%E6%B0%91%E6%B2%BB%E8%A1%97%E9%81%93%E9%BE%99%E5%A1%98%E7%A4%BE%E5%8C%BA%E5%8D%93%E8%B6%8A%E7%9A%87%E5%90%8E%E9%81%93_%E5%8D%93%E8%B6%8A%E7%9A%87%E5%90%8E%E9%81%93.html","查看证据")</f>
        <v/>
      </c>
    </row>
    <row r="336">
      <c r="A336" t="inlineStr">
        <is>
          <t>住宅小区</t>
        </is>
      </c>
      <c r="B336" t="inlineStr">
        <is>
          <t>颐安都会中央二区</t>
        </is>
      </c>
      <c r="C336" t="inlineStr">
        <is>
          <t>1.5</t>
        </is>
      </c>
      <c r="D336" s="5" t="inlineStr">
        <is>
          <t>分类标志完整、正确、清晰，各类垃圾收集容器外罩和内桶的颜色正确。（4分）</t>
        </is>
      </c>
      <c r="E336" t="inlineStr">
        <is>
          <t>-2</t>
        </is>
      </c>
      <c r="F336" s="5" t="inlineStr">
        <is>
          <t>（3）外罩和内桶颜色不正确;（不强制要求垃圾桶套袋，若套袋的，收集容器应按垃圾类别对应颜色套袋）(-2)（1处问题）</t>
        </is>
      </c>
      <c r="G336">
        <f>HYPERLINK("https://yueling-buddy.github.io/xxr-inspection-album/weeks/2026-09-03/venue/v-%E6%B7%B1%E5%9C%B3%E5%B8%82%E9%BE%99%E5%B2%97%E5%8C%BA%E9%BE%99%E9%A3%9E%E5%A4%A7%E9%81%9310%E5%8F%B7_%E9%A2%90%E5%AE%89%E9%83%BD%E4%BC%9A%E4%B8%AD%E5%A4%AE%E4%BA%8C%E5%8C%BA.html","查看证据")</f>
        <v/>
      </c>
    </row>
    <row r="337">
      <c r="A337" t="inlineStr">
        <is>
          <t>住宅小区</t>
        </is>
      </c>
      <c r="B337" t="inlineStr">
        <is>
          <t>颐安都会中央二区</t>
        </is>
      </c>
      <c r="C337" t="inlineStr">
        <is>
          <t>1.14</t>
        </is>
      </c>
      <c r="D337" s="5" t="inlineStr">
        <is>
          <t>各类垃圾及时清运，投放点及其周围环境干净整洁，没有垃圾满溢、暴露垃圾、杂物堆放、严重积水或明显异味等问题。（6分）</t>
        </is>
      </c>
      <c r="E337" t="inlineStr">
        <is>
          <t>-4</t>
        </is>
      </c>
      <c r="F337" s="5" t="inlineStr">
        <is>
          <t>（3）环境卫生不整洁（投放点有暴露垃圾、杂物堆放，洗手池严重脏污，地面未硬底化，有明显污水污渍等）(-2)（2处问题）</t>
        </is>
      </c>
      <c r="G337">
        <f>HYPERLINK("https://yueling-buddy.github.io/xxr-inspection-album/weeks/2026-09-03/venue/v-%E6%B7%B1%E5%9C%B3%E5%B8%82%E9%BE%99%E5%B2%97%E5%8C%BA%E9%BE%99%E9%A3%9E%E5%A4%A7%E9%81%9310%E5%8F%B7_%E9%A2%90%E5%AE%89%E9%83%BD%E4%BC%9A%E4%B8%AD%E5%A4%AE%E4%BA%8C%E5%8C%BA.html","查看证据")</f>
        <v/>
      </c>
    </row>
    <row r="338">
      <c r="A338" t="inlineStr">
        <is>
          <t>住宅小区</t>
        </is>
      </c>
      <c r="B338" t="inlineStr">
        <is>
          <t>颐安都会中央五区</t>
        </is>
      </c>
      <c r="C338" t="inlineStr">
        <is>
          <t>1.5</t>
        </is>
      </c>
      <c r="D338" s="5" t="inlineStr">
        <is>
          <t>分类标志完整、正确、清晰，各类垃圾收集容器外罩和内桶的颜色正确。（4分）</t>
        </is>
      </c>
      <c r="E338" t="inlineStr">
        <is>
          <t>-4</t>
        </is>
      </c>
      <c r="F338" s="5" t="inlineStr">
        <is>
          <t>（3）外罩和内桶颜色不正确;（不强制要求垃圾桶套袋，若套袋的，收集容器应按垃圾类别对应颜色套袋）(-2)（2处问题）</t>
        </is>
      </c>
      <c r="G338">
        <f>HYPERLINK("https://yueling-buddy.github.io/xxr-inspection-album/weeks/2026-09-03/venue/v-%E6%B7%B1%E5%9C%B3%E5%B8%82%E9%BE%99%E5%B2%97%E5%8C%BA%E9%BE%99%E5%9F%8E%E8%A1%97%E9%81%93%E7%88%B1%E8%81%94%E7%A4%BE%E5%8C%BA%E7%88%B1%E5%8D%97%E8%B7%AF641%E5%8F%B7%E9%A2%90%E5%AE%89%E9%83%BD%E4%BC%9A%E4%B8%AD%E5%A4%AE%E8%8A%B1%E5%9B%AD_%E4%BA%94%E5%8C%BA_%E9%A2%90%E5%AE%89%E9%83%BD%E4%BC%9A%E4%B8%AD%E5%A4%AE%E4%BA%94%E5%8C%BA.html","查看证据")</f>
        <v/>
      </c>
    </row>
    <row r="339">
      <c r="A339" t="inlineStr">
        <is>
          <t>住宅小区</t>
        </is>
      </c>
      <c r="B339" t="inlineStr">
        <is>
          <t>颐安都会中央五区</t>
        </is>
      </c>
      <c r="C339" t="inlineStr">
        <is>
          <t>2.2</t>
        </is>
      </c>
      <c r="D339" s="5" t="inlineStr">
        <is>
          <t>设置消防设施，使用功能正常，取用方便。（2分）</t>
        </is>
      </c>
      <c r="E339" t="inlineStr">
        <is>
          <t>-2</t>
        </is>
      </c>
      <c r="F339" s="5" t="inlineStr">
        <is>
          <t>（2）消防设施不规范（设备缺失、破损严重/过期等）(-2)（1处问题）</t>
        </is>
      </c>
      <c r="G339">
        <f>HYPERLINK("https://yueling-buddy.github.io/xxr-inspection-album/weeks/2026-09-03/venue/v-%E6%B7%B1%E5%9C%B3%E5%B8%82%E9%BE%99%E5%B2%97%E5%8C%BA%E9%BE%99%E5%9F%8E%E8%A1%97%E9%81%93%E7%88%B1%E8%81%94%E7%A4%BE%E5%8C%BA%E7%88%B1%E5%8D%97%E8%B7%AF641%E5%8F%B7%E9%A2%90%E5%AE%89%E9%83%BD%E4%BC%9A%E4%B8%AD%E5%A4%AE%E8%8A%B1%E5%9B%AD_%E4%BA%94%E5%8C%BA_%E9%A2%90%E5%AE%89%E9%83%BD%E4%BC%9A%E4%B8%AD%E5%A4%AE%E4%BA%94%E5%8C%BA.html","查看证据")</f>
        <v/>
      </c>
    </row>
    <row r="340">
      <c r="A340" t="inlineStr">
        <is>
          <t>住宅小区</t>
        </is>
      </c>
      <c r="B340" t="inlineStr">
        <is>
          <t>颐安都会中央五区</t>
        </is>
      </c>
      <c r="C340" t="inlineStr">
        <is>
          <t>4.1</t>
        </is>
      </c>
      <c r="D340" s="5" t="inlineStr">
        <is>
          <t>设备外观应使用“深i回收”标识，并公示服务单位、服务电话、回收品类、回收价格等基本信息，回收电话真实有效。（1分）</t>
        </is>
      </c>
      <c r="E340" t="inlineStr">
        <is>
          <t>-1</t>
        </is>
      </c>
      <c r="F340" s="5" t="inlineStr">
        <is>
          <t>（2）箱体未公示服务单位、服务电话、回收品类、回收价格等基本信息，回收电话不真实(-1)（1处问题）</t>
        </is>
      </c>
      <c r="G340">
        <f>HYPERLINK("https://yueling-buddy.github.io/xxr-inspection-album/weeks/2026-09-03/venue/v-%E6%B7%B1%E5%9C%B3%E5%B8%82%E9%BE%99%E5%B2%97%E5%8C%BA%E9%BE%99%E5%9F%8E%E8%A1%97%E9%81%93%E7%88%B1%E8%81%94%E7%A4%BE%E5%8C%BA%E7%88%B1%E5%8D%97%E8%B7%AF641%E5%8F%B7%E9%A2%90%E5%AE%89%E9%83%BD%E4%BC%9A%E4%B8%AD%E5%A4%AE%E8%8A%B1%E5%9B%AD_%E4%BA%94%E5%8C%BA_%E9%A2%90%E5%AE%89%E9%83%BD%E4%BC%9A%E4%B8%AD%E5%A4%AE%E4%BA%94%E5%8C%BA.html","查看证据")</f>
        <v/>
      </c>
    </row>
    <row r="341">
      <c r="A341" t="inlineStr">
        <is>
          <t>住宅小区</t>
        </is>
      </c>
      <c r="B341" t="inlineStr">
        <is>
          <t>颐安都会中央五区</t>
        </is>
      </c>
      <c r="C341" t="inlineStr">
        <is>
          <t>5.3</t>
        </is>
      </c>
      <c r="D341" s="5" t="inlineStr">
        <is>
          <t>箱体不得标示与城管部门合作或监制等字样，不得标榜公益捐赠等信息。（2分）</t>
        </is>
      </c>
      <c r="E341" t="inlineStr">
        <is>
          <t>-2</t>
        </is>
      </c>
      <c r="F341" s="5" t="inlineStr">
        <is>
          <t>（2）标示错误信息(-2)（1处问题）</t>
        </is>
      </c>
      <c r="G341">
        <f>HYPERLINK("https://yueling-buddy.github.io/xxr-inspection-album/weeks/2026-09-03/venue/v-%E6%B7%B1%E5%9C%B3%E5%B8%82%E9%BE%99%E5%B2%97%E5%8C%BA%E9%BE%99%E5%9F%8E%E8%A1%97%E9%81%93%E7%88%B1%E8%81%94%E7%A4%BE%E5%8C%BA%E7%88%B1%E5%8D%97%E8%B7%AF641%E5%8F%B7%E9%A2%90%E5%AE%89%E9%83%BD%E4%BC%9A%E4%B8%AD%E5%A4%AE%E8%8A%B1%E5%9B%AD_%E4%BA%94%E5%8C%BA_%E9%A2%90%E5%AE%89%E9%83%BD%E4%BC%9A%E4%B8%AD%E5%A4%AE%E4%BA%94%E5%8C%BA.html","查看证据")</f>
        <v/>
      </c>
    </row>
    <row r="342">
      <c r="A342" t="inlineStr">
        <is>
          <t>住宅小区</t>
        </is>
      </c>
      <c r="B342" t="inlineStr">
        <is>
          <t>星河时代花园</t>
        </is>
      </c>
      <c r="C342" t="inlineStr">
        <is>
          <t>4.1</t>
        </is>
      </c>
      <c r="D342" s="5" t="inlineStr">
        <is>
          <t>设备外观应使用“深i回收”标识，并公示服务单位、服务电话、回收品类、回收价格等基本信息，回收电话真实有效。（1分）</t>
        </is>
      </c>
      <c r="E342" t="inlineStr">
        <is>
          <t>-1</t>
        </is>
      </c>
      <c r="F342" s="5" t="inlineStr">
        <is>
          <t>（2）箱体未公示服务单位、服务电话、回收品类、回收价格等基本信息，回收电话不真实(-1)（1处问题）</t>
        </is>
      </c>
      <c r="G342">
        <f>HYPERLINK("https://yueling-buddy.github.io/xxr-inspection-album/weeks/2026-09-03/venue/v-%E6%B7%B1%E5%9C%B3%E5%B8%82%E9%BE%99%E5%B2%97%E5%8C%BA%E7%88%B1%E5%8D%97%E8%B7%AF666%E5%8F%B7_%E6%98%9F%E6%B2%B3%E6%97%B6%E4%BB%A3%E8%8A%B1%E5%9B%AD.html","查看证据")</f>
        <v/>
      </c>
    </row>
    <row r="343">
      <c r="A343" t="inlineStr">
        <is>
          <t>住宅小区</t>
        </is>
      </c>
      <c r="B343" t="inlineStr">
        <is>
          <t>龙光玖悦台</t>
        </is>
      </c>
      <c r="C343" t="inlineStr">
        <is>
          <t>1.1</t>
        </is>
      </c>
      <c r="D343" s="5" t="inlineStr">
        <is>
          <t>设置集中分类投放点，摆放可回收物、厨余垃圾、其他垃圾三类收集容器。（6分）</t>
        </is>
      </c>
      <c r="E343" t="inlineStr">
        <is>
          <t>-2</t>
        </is>
      </c>
      <c r="F343" s="5" t="inlineStr">
        <is>
          <t>（2）分类收集容器缺失(-2)（1处问题）</t>
        </is>
      </c>
      <c r="G343">
        <f>HYPERLINK("https://yueling-buddy.github.io/xxr-inspection-album/weeks/2026-09-03/venue/v-%E5%B9%BF%E4%B8%9C%E7%9C%81%E6%B7%B1%E5%9C%B3%E5%B8%82%E9%BE%99%E5%8D%8E%E5%8C%BA%E6%B0%91%E6%B2%BB%E8%A1%97%E9%81%93%E9%BE%99%E5%85%89%E7%8E%96%E6%82%A6%E5%8F%B0_%E9%BE%99%E5%85%89%E7%8E%96%E6%82%A6%E5%8F%B0.html","查看证据")</f>
        <v/>
      </c>
    </row>
    <row r="344">
      <c r="A344" t="inlineStr">
        <is>
          <t>住宅小区</t>
        </is>
      </c>
      <c r="B344" t="inlineStr">
        <is>
          <t>龙光玖悦台</t>
        </is>
      </c>
      <c r="C344" t="inlineStr">
        <is>
          <t>1.5</t>
        </is>
      </c>
      <c r="D344" s="5" t="inlineStr">
        <is>
          <t>分类标志完整、正确、清晰，各类垃圾收集容器外罩和内桶的颜色正确。（4分）</t>
        </is>
      </c>
      <c r="E344" t="inlineStr">
        <is>
          <t>-2</t>
        </is>
      </c>
      <c r="F344" s="5" t="inlineStr">
        <is>
          <t>（3）外罩和内桶颜色不正确;（不强制要求垃圾桶套袋，若套袋的，收集容器应按垃圾类别对应颜色套袋）(-2)（1处问题）</t>
        </is>
      </c>
      <c r="G344">
        <f>HYPERLINK("https://yueling-buddy.github.io/xxr-inspection-album/weeks/2026-09-03/venue/v-%E5%B9%BF%E4%B8%9C%E7%9C%81%E6%B7%B1%E5%9C%B3%E5%B8%82%E9%BE%99%E5%8D%8E%E5%8C%BA%E6%B0%91%E6%B2%BB%E8%A1%97%E9%81%93%E9%BE%99%E5%85%89%E7%8E%96%E6%82%A6%E5%8F%B0_%E9%BE%99%E5%85%89%E7%8E%96%E6%82%A6%E5%8F%B0.html","查看证据")</f>
        <v/>
      </c>
    </row>
    <row r="345">
      <c r="A345" t="inlineStr">
        <is>
          <t>住宅小区</t>
        </is>
      </c>
      <c r="B345" t="inlineStr">
        <is>
          <t>龙光玖悦台</t>
        </is>
      </c>
      <c r="C345" t="inlineStr">
        <is>
          <t>1.16</t>
        </is>
      </c>
      <c r="D345" s="5" t="inlineStr">
        <is>
          <t>禁止通过捆绑、卡挡或上锁等方式封闭或遮挡投放口。（4分）</t>
        </is>
      </c>
      <c r="E345" t="inlineStr">
        <is>
          <t>-2</t>
        </is>
      </c>
      <c r="F345" s="5" t="inlineStr">
        <is>
          <t>（4）误时投放点未开放(-2)（1处问题）</t>
        </is>
      </c>
      <c r="G345">
        <f>HYPERLINK("https://yueling-buddy.github.io/xxr-inspection-album/weeks/2026-09-03/venue/v-%E5%B9%BF%E4%B8%9C%E7%9C%81%E6%B7%B1%E5%9C%B3%E5%B8%82%E9%BE%99%E5%8D%8E%E5%8C%BA%E6%B0%91%E6%B2%BB%E8%A1%97%E9%81%93%E9%BE%99%E5%85%89%E7%8E%96%E6%82%A6%E5%8F%B0_%E9%BE%99%E5%85%89%E7%8E%96%E6%82%A6%E5%8F%B0.html","查看证据")</f>
        <v/>
      </c>
    </row>
    <row r="346">
      <c r="A346" t="inlineStr">
        <is>
          <t>住宅小区</t>
        </is>
      </c>
      <c r="B346" t="inlineStr">
        <is>
          <t>长城里程家园</t>
        </is>
      </c>
      <c r="C346" t="inlineStr">
        <is>
          <t>1.15</t>
        </is>
      </c>
      <c r="D346" s="5" t="inlineStr">
        <is>
          <t>投放点均安装具备AI识别功能的视频监控设备，监控视野保持在合理角度。（4分）</t>
        </is>
      </c>
      <c r="E346" t="inlineStr">
        <is>
          <t>-2</t>
        </is>
      </c>
      <c r="F346" s="5" t="inlineStr">
        <is>
          <t>（4）其他问题（备注描述）(-2)（1处问题）</t>
        </is>
      </c>
      <c r="G346">
        <f>HYPERLINK("https://yueling-buddy.github.io/xxr-inspection-album/weeks/2026-09-03/venue/v-%E9%BE%99%E5%8D%8E%E5%8C%BA%E6%B0%91%E6%B2%BB%E8%A1%97%E9%81%93%E9%BE%99%E5%A1%98%E7%A4%BE%E5%8C%BA%E9%95%BF%E5%9F%8E%E9%87%8C%E7%A8%8B%E5%AE%B6%E5%9B%AD_%E9%95%BF%E5%9F%8E%E9%87%8C%E7%A8%8B%E5%AE%B6%E5%9B%AD.html","查看证据")</f>
        <v/>
      </c>
    </row>
    <row r="347">
      <c r="A347" t="inlineStr">
        <is>
          <t>住宅小区</t>
        </is>
      </c>
      <c r="B347" t="inlineStr">
        <is>
          <t>长城里程家园</t>
        </is>
      </c>
      <c r="C347" t="inlineStr">
        <is>
          <t>1.17</t>
        </is>
      </c>
      <c r="D347" s="5" t="inlineStr">
        <is>
          <t>转运桶应在黄线划定区域内摆放整齐并保持全天关闭（作业状态除外），禁止罩外摆桶供居民投放。（6分）</t>
        </is>
      </c>
      <c r="E347" t="inlineStr">
        <is>
          <t>-2</t>
        </is>
      </c>
      <c r="F347" s="5" t="inlineStr">
        <is>
          <t>（3）监控范围外罩外摆桶并开盖供居民投放(-2)（1处问题）</t>
        </is>
      </c>
      <c r="G347">
        <f>HYPERLINK("https://yueling-buddy.github.io/xxr-inspection-album/weeks/2026-09-03/venue/v-%E9%BE%99%E5%8D%8E%E5%8C%BA%E6%B0%91%E6%B2%BB%E8%A1%97%E9%81%93%E9%BE%99%E5%A1%98%E7%A4%BE%E5%8C%BA%E9%95%BF%E5%9F%8E%E9%87%8C%E7%A8%8B%E5%AE%B6%E5%9B%AD_%E9%95%BF%E5%9F%8E%E9%87%8C%E7%A8%8B%E5%AE%B6%E5%9B%AD.html","查看证据")</f>
        <v/>
      </c>
    </row>
    <row r="348">
      <c r="A348" t="inlineStr">
        <is>
          <t>住宅小区</t>
        </is>
      </c>
      <c r="B348" t="inlineStr">
        <is>
          <t>长城里程家园</t>
        </is>
      </c>
      <c r="C348" t="inlineStr">
        <is>
          <t>1.18</t>
        </is>
      </c>
      <c r="D348" s="5" t="inlineStr">
        <is>
          <t>禁止在楼层、地面或车库等设置分散式垃圾收集容器。（4分）</t>
        </is>
      </c>
      <c r="E348" t="inlineStr">
        <is>
          <t>-4</t>
        </is>
      </c>
      <c r="F348" s="5" t="inlineStr">
        <is>
          <t>（2）设置分散式垃圾收集容器（随意摆桶未划黄线）(-4)（2处问题）</t>
        </is>
      </c>
      <c r="G348">
        <f>HYPERLINK("https://yueling-buddy.github.io/xxr-inspection-album/weeks/2026-09-03/venue/v-%E9%BE%99%E5%8D%8E%E5%8C%BA%E6%B0%91%E6%B2%BB%E8%A1%97%E9%81%93%E9%BE%99%E5%A1%98%E7%A4%BE%E5%8C%BA%E9%95%BF%E5%9F%8E%E9%87%8C%E7%A8%8B%E5%AE%B6%E5%9B%AD_%E9%95%BF%E5%9F%8E%E9%87%8C%E7%A8%8B%E5%AE%B6%E5%9B%AD.html","查看证据")</f>
        <v/>
      </c>
    </row>
    <row r="349">
      <c r="A349" t="inlineStr">
        <is>
          <t>住宅小区</t>
        </is>
      </c>
      <c r="B349" t="inlineStr">
        <is>
          <t>远景家园</t>
        </is>
      </c>
      <c r="C349" t="inlineStr">
        <is>
          <t>1.9</t>
        </is>
      </c>
      <c r="D349" s="5" t="inlineStr">
        <is>
          <t>各设施齐全完好，摆放整齐有序，使用功能正常，没有严重破损、陈旧问题，不得拆除投放口盖板支撑杆。（6分）</t>
        </is>
      </c>
      <c r="E349" t="inlineStr">
        <is>
          <t>-2</t>
        </is>
      </c>
      <c r="F349" s="5" t="inlineStr">
        <is>
          <t>（3）内桶错放导致桶盖无法正常打开，未放置垃圾内桶等影响正常使用(-2)（1处问题）</t>
        </is>
      </c>
      <c r="G349">
        <f>HYPERLINK("https://yueling-buddy.github.io/xxr-inspection-album/weeks/2026-09-03/venue/v-%E9%BE%99%E5%8D%8E%E5%8C%BA%E6%B0%91%E6%B2%BB%E8%A1%97%E9%81%93%E9%BE%99%E5%A1%98%E7%A4%BE%E5%8C%BA%E8%BF%9C%E6%99%AF%E5%AE%B6%E5%9B%AD_%E8%BF%9C%E6%99%AF%E5%AE%B6%E5%9B%AD.html","查看证据")</f>
        <v/>
      </c>
    </row>
    <row r="350">
      <c r="A350" t="inlineStr">
        <is>
          <t>住宅小区</t>
        </is>
      </c>
      <c r="B350" t="inlineStr">
        <is>
          <t>远景家园</t>
        </is>
      </c>
      <c r="C350" t="inlineStr">
        <is>
          <t>1.17</t>
        </is>
      </c>
      <c r="D350" s="5" t="inlineStr">
        <is>
          <t>转运桶应在黄线划定区域内摆放整齐并保持全天关闭（作业状态除外），禁止罩外摆桶供居民投放。（6分）</t>
        </is>
      </c>
      <c r="E350" t="inlineStr">
        <is>
          <t>-2</t>
        </is>
      </c>
      <c r="F350" s="5" t="inlineStr">
        <is>
          <t>（3）监控范围外罩外摆桶并开盖供居民投放(-2)（1处问题）</t>
        </is>
      </c>
      <c r="G350">
        <f>HYPERLINK("https://yueling-buddy.github.io/xxr-inspection-album/weeks/2026-09-03/venue/v-%E9%BE%99%E5%8D%8E%E5%8C%BA%E6%B0%91%E6%B2%BB%E8%A1%97%E9%81%93%E9%BE%99%E5%A1%98%E7%A4%BE%E5%8C%BA%E8%BF%9C%E6%99%AF%E5%AE%B6%E5%9B%AD_%E8%BF%9C%E6%99%AF%E5%AE%B6%E5%9B%AD.html","查看证据")</f>
        <v/>
      </c>
    </row>
    <row r="351">
      <c r="A351" t="inlineStr">
        <is>
          <t>住宅小区</t>
        </is>
      </c>
      <c r="B351" t="inlineStr">
        <is>
          <t>城市立方花园（绿景大公馆）</t>
        </is>
      </c>
      <c r="C351" t="inlineStr">
        <is>
          <t>1.14</t>
        </is>
      </c>
      <c r="D351" s="5" t="inlineStr">
        <is>
          <t>各类垃圾及时清运，投放点及其周围环境干净整洁，没有垃圾满溢、暴露垃圾、杂物堆放、严重积水或明显异味等问题。（6分）</t>
        </is>
      </c>
      <c r="E351" t="inlineStr">
        <is>
          <t>-2</t>
        </is>
      </c>
      <c r="F351" s="5" t="inlineStr">
        <is>
          <t>（3）环境卫生不整洁（投放点有暴露垃圾、杂物堆放，洗手池严重脏污，地面未硬底化，有明显污水污渍等）(-2)（1处问题）</t>
        </is>
      </c>
      <c r="G351">
        <f>HYPERLINK("https://yueling-buddy.github.io/xxr-inspection-album/weeks/2026-09-03/venue/v-%E6%B7%B1%E5%9C%B3%E5%B8%82%E9%BE%99%E5%B2%97%E5%8C%BA%E9%BB%84%E9%98%81%E8%B7%AF6%E5%8F%B7_%E5%9F%8E%E5%B8%82%E7%AB%8B%E6%96%B9%E8%8A%B1%E5%9B%AD_%E7%BB%BF%E6%99%AF%E5%A4%A7%E5%85%AC%E9%A6%86_.html","查看证据")</f>
        <v/>
      </c>
    </row>
    <row r="352">
      <c r="A352" t="inlineStr">
        <is>
          <t>住宅小区</t>
        </is>
      </c>
      <c r="B352" t="inlineStr">
        <is>
          <t>城市立方花园（绿景大公馆）</t>
        </is>
      </c>
      <c r="C352" t="inlineStr">
        <is>
          <t>2.2</t>
        </is>
      </c>
      <c r="D352" s="5" t="inlineStr">
        <is>
          <t>设置消防设施，使用功能正常，取用方便。（2分）</t>
        </is>
      </c>
      <c r="E352" t="inlineStr">
        <is>
          <t>-2</t>
        </is>
      </c>
      <c r="F352" s="5" t="inlineStr">
        <is>
          <t>（2）消防设施不规范（设备缺失、破损严重/过期等）(-2)（1处问题）</t>
        </is>
      </c>
      <c r="G352">
        <f>HYPERLINK("https://yueling-buddy.github.io/xxr-inspection-album/weeks/2026-09-03/venue/v-%E6%B7%B1%E5%9C%B3%E5%B8%82%E9%BE%99%E5%B2%97%E5%8C%BA%E9%BB%84%E9%98%81%E8%B7%AF6%E5%8F%B7_%E5%9F%8E%E5%B8%82%E7%AB%8B%E6%96%B9%E8%8A%B1%E5%9B%AD_%E7%BB%BF%E6%99%AF%E5%A4%A7%E5%85%AC%E9%A6%86_.html","查看证据")</f>
        <v/>
      </c>
    </row>
    <row r="353">
      <c r="A353" t="inlineStr">
        <is>
          <t>住宅小区</t>
        </is>
      </c>
      <c r="B353" t="inlineStr">
        <is>
          <t>城市立方花园（绿景大公馆）</t>
        </is>
      </c>
      <c r="C353" t="inlineStr">
        <is>
          <t>4.1</t>
        </is>
      </c>
      <c r="D353" s="5" t="inlineStr">
        <is>
          <t>设备外观应使用“深i回收”标识，并公示服务单位、服务电话、回收品类、回收价格等基本信息，回收电话真实有效。（1分）</t>
        </is>
      </c>
      <c r="E353" t="inlineStr">
        <is>
          <t>-1</t>
        </is>
      </c>
      <c r="F353" s="5" t="inlineStr">
        <is>
          <t>（2）箱体未公示服务单位、服务电话、回收品类、回收价格等基本信息，回收电话不真实(-1)（2处问题）</t>
        </is>
      </c>
      <c r="G353">
        <f>HYPERLINK("https://yueling-buddy.github.io/xxr-inspection-album/weeks/2026-09-03/venue/v-%E6%B7%B1%E5%9C%B3%E5%B8%82%E9%BE%99%E5%B2%97%E5%8C%BA%E9%BB%84%E9%98%81%E8%B7%AF6%E5%8F%B7_%E5%9F%8E%E5%B8%82%E7%AB%8B%E6%96%B9%E8%8A%B1%E5%9B%AD_%E7%BB%BF%E6%99%AF%E5%A4%A7%E5%85%AC%E9%A6%86_.html","查看证据")</f>
        <v/>
      </c>
    </row>
    <row r="354">
      <c r="A354" t="inlineStr">
        <is>
          <t>住宅小区</t>
        </is>
      </c>
      <c r="B354" t="inlineStr">
        <is>
          <t>中森双子座公馆</t>
        </is>
      </c>
      <c r="C354" t="inlineStr">
        <is>
          <t>1.9</t>
        </is>
      </c>
      <c r="D354" s="5" t="inlineStr">
        <is>
          <t>各设施齐全完好，摆放整齐有序，使用功能正常，没有严重破损、陈旧问题，不得拆除投放口盖板支撑杆。（6分）</t>
        </is>
      </c>
      <c r="E354" t="inlineStr">
        <is>
          <t>-2</t>
        </is>
      </c>
      <c r="F354" s="5" t="inlineStr">
        <is>
          <t>（2）分类设施损坏或摆放不整齐(-2)（1处问题）</t>
        </is>
      </c>
      <c r="G354">
        <f>HYPERLINK("https://yueling-buddy.github.io/xxr-inspection-album/weeks/2026-09-03/venue/v-%E6%B7%B1%E5%9C%B3%E5%B8%82%E9%BE%99%E5%B2%97%E5%8C%BA%E9%BE%99%E5%9F%8E%E6%B2%99%E5%9B%AD%E8%B7%AF%E4%B8%8E%E9%85%8D%E5%A5%97%E4%BA%8C%E8%B7%AF%E4%BA%A4%E5%8F%89%E8%B7%AF%E5%8F%A3%E5%BE%80%E4%B8%9C%E5%8D%97%E7%BA%A6100%E7%B1%B3_%E9%98%B3%E5%85%89%E5%A4%A9%E5%81%A5%E5%9F%8E%E4%B8%9C%E5%8D%97%E4%BE%A7%E7%BA%A650%E7%B1%B3_%E4%B8%AD%E6%A3%AE%E5%8F%8C%E5%AD%90%E5%BA%A7%E5%85%AC%E9%A6%86.html","查看证据")</f>
        <v/>
      </c>
    </row>
    <row r="355">
      <c r="A355" t="inlineStr">
        <is>
          <t>住宅小区</t>
        </is>
      </c>
      <c r="B355" t="inlineStr">
        <is>
          <t>中森双子座公馆</t>
        </is>
      </c>
      <c r="C355" t="inlineStr">
        <is>
          <t>1.17</t>
        </is>
      </c>
      <c r="D355" s="5" t="inlineStr">
        <is>
          <t>转运桶应在黄线划定区域内摆放整齐并保持全天关闭（作业状态除外），禁止罩外摆桶供居民投放。（6分）</t>
        </is>
      </c>
      <c r="E355" t="inlineStr">
        <is>
          <t>-2</t>
        </is>
      </c>
      <c r="F355" s="5" t="inlineStr">
        <is>
          <t>（3）监控范围外罩外摆桶并开盖供居民投放(-2)（1处问题）</t>
        </is>
      </c>
      <c r="G355">
        <f>HYPERLINK("https://yueling-buddy.github.io/xxr-inspection-album/weeks/2026-09-03/venue/v-%E6%B7%B1%E5%9C%B3%E5%B8%82%E9%BE%99%E5%B2%97%E5%8C%BA%E9%BE%99%E5%9F%8E%E6%B2%99%E5%9B%AD%E8%B7%AF%E4%B8%8E%E9%85%8D%E5%A5%97%E4%BA%8C%E8%B7%AF%E4%BA%A4%E5%8F%89%E8%B7%AF%E5%8F%A3%E5%BE%80%E4%B8%9C%E5%8D%97%E7%BA%A6100%E7%B1%B3_%E9%98%B3%E5%85%89%E5%A4%A9%E5%81%A5%E5%9F%8E%E4%B8%9C%E5%8D%97%E4%BE%A7%E7%BA%A650%E7%B1%B3_%E4%B8%AD%E6%A3%AE%E5%8F%8C%E5%AD%90%E5%BA%A7%E5%85%AC%E9%A6%86.html","查看证据")</f>
        <v/>
      </c>
    </row>
    <row r="356">
      <c r="A356" t="inlineStr">
        <is>
          <t>餐饮场所</t>
        </is>
      </c>
      <c r="B356" t="inlineStr">
        <is>
          <t>华记农家菜</t>
        </is>
      </c>
      <c r="C356" t="inlineStr">
        <is>
          <t>1.1</t>
        </is>
      </c>
      <c r="D356" s="5" t="inlineStr">
        <is>
          <t>后厨区摆放可回收物、厨余垃圾、其他垃圾收集容器。（6分）</t>
        </is>
      </c>
      <c r="E356" t="inlineStr">
        <is>
          <t>-6</t>
        </is>
      </c>
      <c r="F356" s="5" t="inlineStr">
        <is>
          <t>（2）收集容器缺失(-6)（1处问题）</t>
        </is>
      </c>
      <c r="G356">
        <f>HYPERLINK("https://yueling-buddy.github.io/xxr-inspection-album/weeks/2026-09-03/venue/v-%E7%88%B1%E8%81%94%E7%A4%BE%E5%8C%BA%E5%89%8D%E8%BF%9B%E5%95%86%E4%B8%9A%E5%B9%BF%E5%9C%BA_%E5%8D%8E%E8%AE%B0%E5%86%9C%E5%AE%B6%E8%8F%9C.html","查看证据")</f>
        <v/>
      </c>
    </row>
    <row r="357">
      <c r="A357" t="inlineStr">
        <is>
          <t>餐饮场所</t>
        </is>
      </c>
      <c r="B357" t="inlineStr">
        <is>
          <t>华记农家菜</t>
        </is>
      </c>
      <c r="C357" t="inlineStr">
        <is>
          <t>1.3</t>
        </is>
      </c>
      <c r="D357" s="5" t="inlineStr">
        <is>
          <t>各类收集容器的分类标志完整、正确、清晰。 （18分）</t>
        </is>
      </c>
      <c r="E357" t="inlineStr">
        <is>
          <t>-3</t>
        </is>
      </c>
      <c r="F357" s="5" t="inlineStr">
        <is>
          <t>（2）收集容器标志缺失、错误或模糊不清的。（不强制要求垃圾桶套袋，若套袋的，收集容器应按垃圾类别对应颜色套袋）(-3)（1处问题）</t>
        </is>
      </c>
      <c r="G357">
        <f>HYPERLINK("https://yueling-buddy.github.io/xxr-inspection-album/weeks/2026-09-03/venue/v-%E7%88%B1%E8%81%94%E7%A4%BE%E5%8C%BA%E5%89%8D%E8%BF%9B%E5%95%86%E4%B8%9A%E5%B9%BF%E5%9C%BA_%E5%8D%8E%E8%AE%B0%E5%86%9C%E5%AE%B6%E8%8F%9C.html","查看证据")</f>
        <v/>
      </c>
    </row>
    <row r="358">
      <c r="A358" t="inlineStr">
        <is>
          <t>购物中心</t>
        </is>
      </c>
      <c r="B358" t="inlineStr">
        <is>
          <t>龙岗星河cocopark</t>
        </is>
      </c>
      <c r="C358" t="inlineStr">
        <is>
          <t>1.6</t>
        </is>
      </c>
      <c r="D358" s="5" t="inlineStr">
        <is>
          <t>各类收集容器的分类标志完整、正确、清晰。</t>
        </is>
      </c>
      <c r="E358" t="inlineStr">
        <is>
          <t>-6</t>
        </is>
      </c>
      <c r="F358" s="5" t="inlineStr">
        <is>
          <t>（2）收集容器标志缺失、错误或模糊不清的。（不强制要求垃圾桶套袋，若套袋的，收集容器应按垃圾类别对应颜色套袋）(-3)（2处问题）</t>
        </is>
      </c>
      <c r="G358">
        <f>HYPERLINK("https://yueling-buddy.github.io/xxr-inspection-album/weeks/2026-09-03/venue/v-%E5%B9%BF%E4%B8%9C%E7%9C%81%E6%B7%B1%E5%9C%B3%E5%B8%82%E9%BE%99%E5%B2%97%E5%8C%BA%E9%BE%99%E5%9F%8E%E8%A1%97%E9%81%93%E6%98%9F%E6%B2%B3%E6%97%B6%E4%BB%A3%E6%98%9F%E6%B2%B3COCO_Park_%E9%BE%99%E5%B2%97%E5%BA%97_%E9%BE%99%E5%B2%97%E6%98%9F%E6%B2%B3cocopark.html","查看证据")</f>
        <v/>
      </c>
    </row>
    <row r="359">
      <c r="A359" t="inlineStr">
        <is>
          <t>住宅小区</t>
        </is>
      </c>
      <c r="B359" t="inlineStr">
        <is>
          <t>翔龙御庭</t>
        </is>
      </c>
      <c r="C359" t="inlineStr">
        <is>
          <t>1.9</t>
        </is>
      </c>
      <c r="D359" s="5" t="inlineStr">
        <is>
          <t>各设施齐全完好，摆放整齐有序，使用功能正常，没有严重破损、陈旧问题，不得拆除投放口盖板支撑杆。（6分）</t>
        </is>
      </c>
      <c r="E359" t="inlineStr">
        <is>
          <t>-2</t>
        </is>
      </c>
      <c r="F359" s="5" t="inlineStr">
        <is>
          <t>（2）分类设施损坏或摆放不整齐(-2)（1处问题）</t>
        </is>
      </c>
      <c r="G359">
        <f>HYPERLINK("https://yueling-buddy.github.io/xxr-inspection-album/weeks/2026-09-03/venue/v-%E9%BE%99%E5%8D%8E%E5%8C%BA%E6%B0%91%E6%B2%BB%E8%A1%97%E9%81%93%E9%BE%99%E5%A1%98%E7%A4%BE%E5%8C%BA%E7%BF%94%E9%BE%99%E5%BE%A1%E5%BA%AD_%E7%BF%94%E9%BE%99%E5%BE%A1%E5%BA%AD.html","查看证据")</f>
        <v/>
      </c>
    </row>
    <row r="360">
      <c r="A360" t="inlineStr">
        <is>
          <t>住宅小区</t>
        </is>
      </c>
      <c r="B360" t="inlineStr">
        <is>
          <t>翔龙御庭</t>
        </is>
      </c>
      <c r="C360" t="inlineStr">
        <is>
          <t>1.14</t>
        </is>
      </c>
      <c r="D360" s="5" t="inlineStr">
        <is>
          <t>各类垃圾及时清运，投放点及其周围环境干净整洁，没有垃圾满溢、暴露垃圾、杂物堆放、严重积水或明显异味等问题。（6分）</t>
        </is>
      </c>
      <c r="E360" t="inlineStr">
        <is>
          <t>-2</t>
        </is>
      </c>
      <c r="F360" s="5" t="inlineStr">
        <is>
          <t>（3）环境卫生不整洁（投放点有暴露垃圾、杂物堆放，洗手池严重脏污，地面未硬底化，有明显污水污渍等）(-2)（1处问题）</t>
        </is>
      </c>
      <c r="G360">
        <f>HYPERLINK("https://yueling-buddy.github.io/xxr-inspection-album/weeks/2026-09-03/venue/v-%E9%BE%99%E5%8D%8E%E5%8C%BA%E6%B0%91%E6%B2%BB%E8%A1%97%E9%81%93%E9%BE%99%E5%A1%98%E7%A4%BE%E5%8C%BA%E7%BF%94%E9%BE%99%E5%BE%A1%E5%BA%AD_%E7%BF%94%E9%BE%99%E5%BE%A1%E5%BA%AD.html","查看证据")</f>
        <v/>
      </c>
    </row>
    <row r="361">
      <c r="A361" t="inlineStr">
        <is>
          <t>住宅小区</t>
        </is>
      </c>
      <c r="B361" t="inlineStr">
        <is>
          <t>翔龙御庭</t>
        </is>
      </c>
      <c r="C361" t="inlineStr">
        <is>
          <t>1.17</t>
        </is>
      </c>
      <c r="D361" s="5" t="inlineStr">
        <is>
          <t>转运桶应在黄线划定区域内摆放整齐并保持全天关闭（作业状态除外），禁止罩外摆桶供居民投放。（6分）</t>
        </is>
      </c>
      <c r="E361" t="inlineStr">
        <is>
          <t>-2</t>
        </is>
      </c>
      <c r="F361" s="5" t="inlineStr">
        <is>
          <t>（3）监控范围外罩外摆桶并开盖供居民投放(-2)（1处问题）</t>
        </is>
      </c>
      <c r="G361">
        <f>HYPERLINK("https://yueling-buddy.github.io/xxr-inspection-album/weeks/2026-09-03/venue/v-%E9%BE%99%E5%8D%8E%E5%8C%BA%E6%B0%91%E6%B2%BB%E8%A1%97%E9%81%93%E9%BE%99%E5%A1%98%E7%A4%BE%E5%8C%BA%E7%BF%94%E9%BE%99%E5%BE%A1%E5%BA%AD_%E7%BF%94%E9%BE%99%E5%BE%A1%E5%BA%AD.html","查看证据")</f>
        <v/>
      </c>
    </row>
    <row r="362">
      <c r="A362" t="inlineStr">
        <is>
          <t>住宅小区</t>
        </is>
      </c>
      <c r="B362" t="inlineStr">
        <is>
          <t>翔龙御庭</t>
        </is>
      </c>
      <c r="C362" t="inlineStr">
        <is>
          <t>2.4</t>
        </is>
      </c>
      <c r="D362" s="5" t="inlineStr">
        <is>
          <t>暂存点及其周围环境干净整洁，没有污水积聚或散落垃圾，禁止存放易燃易爆危险品，禁止违规接电、住人。（2分）</t>
        </is>
      </c>
      <c r="E362" t="inlineStr">
        <is>
          <t>-2</t>
        </is>
      </c>
      <c r="F362" s="5" t="inlineStr">
        <is>
          <t>（5）暂存点存在用水用电安全隐患(-2)（1处问题）</t>
        </is>
      </c>
      <c r="G362">
        <f>HYPERLINK("https://yueling-buddy.github.io/xxr-inspection-album/weeks/2026-09-03/venue/v-%E9%BE%99%E5%8D%8E%E5%8C%BA%E6%B0%91%E6%B2%BB%E8%A1%97%E9%81%93%E9%BE%99%E5%A1%98%E7%A4%BE%E5%8C%BA%E7%BF%94%E9%BE%99%E5%BE%A1%E5%BA%AD_%E7%BF%94%E9%BE%99%E5%BE%A1%E5%BA%AD.html","查看证据")</f>
        <v/>
      </c>
    </row>
    <row r="363">
      <c r="A363" t="inlineStr">
        <is>
          <t>住宅小区</t>
        </is>
      </c>
      <c r="B363" t="inlineStr">
        <is>
          <t>创兴时代</t>
        </is>
      </c>
      <c r="C363" t="inlineStr">
        <is>
          <t>1.14</t>
        </is>
      </c>
      <c r="D363" s="5" t="inlineStr">
        <is>
          <t>各类垃圾及时清运，投放点及其周围环境干净整洁，没有垃圾满溢、暴露垃圾、杂物堆放、严重积水或明显异味等问题。（6分）</t>
        </is>
      </c>
      <c r="E363" t="inlineStr">
        <is>
          <t>-2</t>
        </is>
      </c>
      <c r="F363" s="5" t="inlineStr">
        <is>
          <t>（3）环境卫生不整洁（投放点有暴露垃圾、杂物堆放，洗手池严重脏污，地面未硬底化，有明显污水污渍等）(-2)（1处问题）</t>
        </is>
      </c>
      <c r="G363">
        <f>HYPERLINK("https://yueling-buddy.github.io/xxr-inspection-album/weeks/2026-09-03/venue/v-%E6%B7%B1%E5%9C%B3%E5%B8%82%E9%BE%99%E5%B2%97%E5%8C%BA%E5%9D%82%E7%94%B0%E8%A1%97%E9%81%93%E5%A4%A7%E5%8F%91%E5%9F%94%E7%A4%BE%E5%8C%BA%E5%88%9B%E5%85%B4%E6%97%B6%E4%BB%A3_%E5%88%9B%E5%85%B4%E6%97%B6%E4%BB%A3.html","查看证据")</f>
        <v/>
      </c>
    </row>
    <row r="364">
      <c r="A364" t="inlineStr">
        <is>
          <t>住宅小区</t>
        </is>
      </c>
      <c r="B364" t="inlineStr">
        <is>
          <t>创兴时代</t>
        </is>
      </c>
      <c r="C364" t="inlineStr">
        <is>
          <t>1.17</t>
        </is>
      </c>
      <c r="D364" s="5" t="inlineStr">
        <is>
          <t>转运桶应在黄线划定区域内摆放整齐并保持全天关闭（作业状态除外），禁止罩外摆桶供居民投放。（6分）</t>
        </is>
      </c>
      <c r="E364" t="inlineStr">
        <is>
          <t>-2</t>
        </is>
      </c>
      <c r="F364" s="5" t="inlineStr">
        <is>
          <t>（3）监控范围外罩外摆桶并开盖供居民投放(-2)（1处问题）</t>
        </is>
      </c>
      <c r="G364">
        <f>HYPERLINK("https://yueling-buddy.github.io/xxr-inspection-album/weeks/2026-09-03/venue/v-%E6%B7%B1%E5%9C%B3%E5%B8%82%E9%BE%99%E5%B2%97%E5%8C%BA%E5%9D%82%E7%94%B0%E8%A1%97%E9%81%93%E5%A4%A7%E5%8F%91%E5%9F%94%E7%A4%BE%E5%8C%BA%E5%88%9B%E5%85%B4%E6%97%B6%E4%BB%A3_%E5%88%9B%E5%85%B4%E6%97%B6%E4%BB%A3.html","查看证据")</f>
        <v/>
      </c>
    </row>
    <row r="365">
      <c r="A365" t="inlineStr">
        <is>
          <t>医疗机构</t>
        </is>
      </c>
      <c r="B365" t="inlineStr">
        <is>
          <t>深圳市龙岗区第二人民医院大发埔社区健康服务中心</t>
        </is>
      </c>
      <c r="C365" t="inlineStr">
        <is>
          <t>1.6</t>
        </is>
      </c>
      <c r="D365" s="5" t="inlineStr">
        <is>
          <t>各类收集容器的分类标志完整、正确、清晰。 （9分）</t>
        </is>
      </c>
      <c r="E365" t="inlineStr">
        <is>
          <t>-3</t>
        </is>
      </c>
      <c r="F365" s="5" t="inlineStr">
        <is>
          <t>（2）收集容器标志缺失、错误或模糊不清的。（不强制要求垃圾桶套袋，若套袋的，收集容器应按垃圾类别对应颜色套袋）(-3)（1处问题）</t>
        </is>
      </c>
      <c r="G365">
        <f>HYPERLINK("https://yueling-buddy.github.io/xxr-inspection-album/weeks/2026-09-03/venue/v-%E9%BE%99%E5%B2%97%E5%8C%BA%E5%9D%82%E7%94%B0%E8%A1%97%E9%81%93%E5%A4%A7%E5%8F%91%E5%9F%94%E4%B8%9C%E6%9D%91%E4%B8%83%E5%B7%B711_12%E5%8F%B7%E4%B8%80_%E4%BA%8C%E6%A5%BC_%E6%B7%B1%E5%9C%B3%E5%B8%82%E9%BE%99%E5%B2%97%E5%8C%BA%E7%AC%AC%E4%BA%8C%E4%BA%BA%E6%B0%91%E5%8C%BB%E9%99%A2%E5%A4%A7%E5%8F%91%E5%9F%94%E7%A4%BE%E5%8C%BA%E5%81%A5%E5%BA%B7%E6%9C%8D%E5%8A%A1%E4%B8%AD%E5%BF%83.html","查看证据")</f>
        <v/>
      </c>
    </row>
    <row r="366">
      <c r="A366" t="inlineStr">
        <is>
          <t>住宅小区</t>
        </is>
      </c>
      <c r="B366" t="inlineStr">
        <is>
          <t>佳华领汇</t>
        </is>
      </c>
      <c r="C366" t="inlineStr">
        <is>
          <t>1.13</t>
        </is>
      </c>
      <c r="D366" s="5" t="inlineStr">
        <is>
          <t>收集容器外壁及内桶保持干净整洁，避免陈旧性脏污，收集容器内无积水。（4分）</t>
        </is>
      </c>
      <c r="E366" t="inlineStr">
        <is>
          <t>-2</t>
        </is>
      </c>
      <c r="F366" s="5" t="inlineStr">
        <is>
          <t>（2）收集容器外壁、内桶存在明显陈旧性脏污，大片锈迹等(-2)（1处问题）</t>
        </is>
      </c>
      <c r="G366">
        <f>HYPERLINK("https://yueling-buddy.github.io/xxr-inspection-album/weeks/2026-09-03/venue/v-%E6%B7%B1%E5%9C%B3%E5%B8%82%E9%BE%99%E5%B2%97%E5%8C%BA%E5%90%89%E5%8D%8E%E8%B7%AF%E4%B8%8E%E4%BA%94%E5%92%8C%E5%A4%A7%E9%81%93%E4%BA%A4%E6%B1%87%E5%A4%84%E8%A5%BF%E5%8D%97%E8%A7%92_%E4%BD%B3%E5%8D%8E%E9%A2%86%E6%B1%87.html","查看证据")</f>
        <v/>
      </c>
    </row>
    <row r="367">
      <c r="A367" t="inlineStr">
        <is>
          <t>住宅小区</t>
        </is>
      </c>
      <c r="B367" t="inlineStr">
        <is>
          <t>佳华领汇</t>
        </is>
      </c>
      <c r="C367" t="inlineStr">
        <is>
          <t>1.14</t>
        </is>
      </c>
      <c r="D367" s="5" t="inlineStr">
        <is>
          <t>各类垃圾及时清运，投放点及其周围环境干净整洁，没有垃圾满溢、暴露垃圾、杂物堆放、严重积水或明显异味等问题。（6分）</t>
        </is>
      </c>
      <c r="E367" t="inlineStr">
        <is>
          <t>-2</t>
        </is>
      </c>
      <c r="F367" s="5" t="inlineStr">
        <is>
          <t>（3）环境卫生不整洁（投放点有暴露垃圾、杂物堆放，洗手池严重脏污，地面未硬底化，有明显污水污渍等）(-2)（1处问题）</t>
        </is>
      </c>
      <c r="G367">
        <f>HYPERLINK("https://yueling-buddy.github.io/xxr-inspection-album/weeks/2026-09-03/venue/v-%E6%B7%B1%E5%9C%B3%E5%B8%82%E9%BE%99%E5%B2%97%E5%8C%BA%E5%90%89%E5%8D%8E%E8%B7%AF%E4%B8%8E%E4%BA%94%E5%92%8C%E5%A4%A7%E9%81%93%E4%BA%A4%E6%B1%87%E5%A4%84%E8%A5%BF%E5%8D%97%E8%A7%92_%E4%BD%B3%E5%8D%8E%E9%A2%86%E6%B1%87.html","查看证据")</f>
        <v/>
      </c>
    </row>
    <row r="368">
      <c r="A368" t="inlineStr">
        <is>
          <t>住宅小区</t>
        </is>
      </c>
      <c r="B368" t="inlineStr">
        <is>
          <t>佳华领汇</t>
        </is>
      </c>
      <c r="C368" t="inlineStr">
        <is>
          <t>2.4</t>
        </is>
      </c>
      <c r="D368" s="5" t="inlineStr">
        <is>
          <t>暂存点及其周围环境干净整洁，没有污水积聚或散落垃圾，禁止存放易燃易爆危险品，禁止违规接电、住人。（2分）</t>
        </is>
      </c>
      <c r="E368" t="inlineStr">
        <is>
          <t>-2</t>
        </is>
      </c>
      <c r="F368" s="5" t="inlineStr">
        <is>
          <t>（2）暂存点及周围环境不整洁（垃圾堆放杂乱、垃圾散落、地面污水积聚等）(-2)（1处问题）</t>
        </is>
      </c>
      <c r="G368">
        <f>HYPERLINK("https://yueling-buddy.github.io/xxr-inspection-album/weeks/2026-09-03/venue/v-%E6%B7%B1%E5%9C%B3%E5%B8%82%E9%BE%99%E5%B2%97%E5%8C%BA%E5%90%89%E5%8D%8E%E8%B7%AF%E4%B8%8E%E4%BA%94%E5%92%8C%E5%A4%A7%E9%81%93%E4%BA%A4%E6%B1%87%E5%A4%84%E8%A5%BF%E5%8D%97%E8%A7%92_%E4%BD%B3%E5%8D%8E%E9%A2%86%E6%B1%87.html","查看证据")</f>
        <v/>
      </c>
    </row>
    <row r="369">
      <c r="A369" t="inlineStr">
        <is>
          <t>城中村</t>
        </is>
      </c>
      <c r="B369" t="inlineStr">
        <is>
          <t>西边新区</t>
        </is>
      </c>
      <c r="C369" t="inlineStr">
        <is>
          <t>1.5</t>
        </is>
      </c>
      <c r="D369" s="5" t="inlineStr">
        <is>
          <t>分类标志完整、正确、清晰，各类垃圾收集容器外罩和内桶的颜色正确。（4分）</t>
        </is>
      </c>
      <c r="E369" t="inlineStr">
        <is>
          <t>-4</t>
        </is>
      </c>
      <c r="F369" s="5" t="inlineStr">
        <is>
          <t>（2）分类桶标志缺失或不规范（标志未更新、标志错误、标志模糊等）(-2)（2处问题）</t>
        </is>
      </c>
      <c r="G369">
        <f>HYPERLINK("https://yueling-buddy.github.io/xxr-inspection-album/weeks/2026-09-03/venue/v-%E6%B7%B1%E5%9C%B3%E5%B8%82%E5%AE%9D%E5%AE%89%E5%8C%BA%E8%A5%BF%E8%BE%B9%E6%96%B0%E5%8C%BA_%E8%A5%BF%E8%BE%B9%E6%96%B0%E5%8C%BA.html","查看证据")</f>
        <v/>
      </c>
    </row>
    <row r="370">
      <c r="A370" t="inlineStr">
        <is>
          <t>城中村</t>
        </is>
      </c>
      <c r="B370" t="inlineStr">
        <is>
          <t>西边新区</t>
        </is>
      </c>
      <c r="C370" t="inlineStr">
        <is>
          <t>1.13</t>
        </is>
      </c>
      <c r="D370" s="5" t="inlineStr">
        <is>
          <t>收集容器外壁及内桶保持干净整洁，避免陈旧性脏污，收集容器内无积水。（6分）</t>
        </is>
      </c>
      <c r="E370" t="inlineStr">
        <is>
          <t>-3</t>
        </is>
      </c>
      <c r="F370" s="5" t="inlineStr">
        <is>
          <t>（2）收集容器外壁、内桶存在明显陈旧性脏污，大片锈迹等(-3)（1处问题）</t>
        </is>
      </c>
      <c r="G370">
        <f>HYPERLINK("https://yueling-buddy.github.io/xxr-inspection-album/weeks/2026-09-03/venue/v-%E6%B7%B1%E5%9C%B3%E5%B8%82%E5%AE%9D%E5%AE%89%E5%8C%BA%E8%A5%BF%E8%BE%B9%E6%96%B0%E5%8C%BA_%E8%A5%BF%E8%BE%B9%E6%96%B0%E5%8C%BA.html","查看证据")</f>
        <v/>
      </c>
    </row>
    <row r="371">
      <c r="A371" t="inlineStr">
        <is>
          <t>城中村</t>
        </is>
      </c>
      <c r="B371" t="inlineStr">
        <is>
          <t>西边新区</t>
        </is>
      </c>
      <c r="C371" t="inlineStr">
        <is>
          <t>1.16</t>
        </is>
      </c>
      <c r="D371" s="5" t="inlineStr">
        <is>
          <t>禁止通过捆绑、卡挡或上锁等方式封闭或遮挡投放口。（4分）</t>
        </is>
      </c>
      <c r="E371" t="inlineStr">
        <is>
          <t>-2</t>
        </is>
      </c>
      <c r="F371" s="5" t="inlineStr">
        <is>
          <t>（4）误时投放点未开放(-2)（1处问题）</t>
        </is>
      </c>
      <c r="G371">
        <f>HYPERLINK("https://yueling-buddy.github.io/xxr-inspection-album/weeks/2026-09-03/venue/v-%E6%B7%B1%E5%9C%B3%E5%B8%82%E5%AE%9D%E5%AE%89%E5%8C%BA%E8%A5%BF%E8%BE%B9%E6%96%B0%E5%8C%BA_%E8%A5%BF%E8%BE%B9%E6%96%B0%E5%8C%BA.html","查看证据")</f>
        <v/>
      </c>
    </row>
    <row r="372">
      <c r="A372" t="inlineStr">
        <is>
          <t>城中村</t>
        </is>
      </c>
      <c r="B372" t="inlineStr">
        <is>
          <t>西边新区</t>
        </is>
      </c>
      <c r="C372" t="inlineStr">
        <is>
          <t>1.18</t>
        </is>
      </c>
      <c r="D372" s="5" t="inlineStr">
        <is>
          <t>禁止在楼层、地面或车库等设置分散式垃圾收集容器。（4分）</t>
        </is>
      </c>
      <c r="E372" t="inlineStr">
        <is>
          <t>-5</t>
        </is>
      </c>
      <c r="F372" s="5" t="inlineStr">
        <is>
          <t>（2）设置分散式垃圾收集容器（随意摆桶未划黄线）(-5)（1处问题）</t>
        </is>
      </c>
      <c r="G372">
        <f>HYPERLINK("https://yueling-buddy.github.io/xxr-inspection-album/weeks/2026-09-03/venue/v-%E6%B7%B1%E5%9C%B3%E5%B8%82%E5%AE%9D%E5%AE%89%E5%8C%BA%E8%A5%BF%E8%BE%B9%E6%96%B0%E5%8C%BA_%E8%A5%BF%E8%BE%B9%E6%96%B0%E5%8C%BA.html","查看证据")</f>
        <v/>
      </c>
    </row>
    <row r="373">
      <c r="A373" t="inlineStr">
        <is>
          <t>城中村</t>
        </is>
      </c>
      <c r="B373" t="inlineStr">
        <is>
          <t>西边旧区</t>
        </is>
      </c>
      <c r="C373" t="inlineStr">
        <is>
          <t>1.6</t>
        </is>
      </c>
      <c r="D373" s="5" t="inlineStr">
        <is>
          <t>设置洗手设施。（2分）</t>
        </is>
      </c>
      <c r="E373" t="inlineStr">
        <is>
          <t>-2</t>
        </is>
      </c>
      <c r="F373" s="5" t="inlineStr">
        <is>
          <t>（2）洗手设施缺失(-1)（1处问题）； （3）洗手设施不规范（包括水龙头损坏或明显松动，水龙头不出水，洗手盆堵塞等）(-1)（1处问题）</t>
        </is>
      </c>
      <c r="G373">
        <f>HYPERLINK("https://yueling-buddy.github.io/xxr-inspection-album/weeks/2026-09-03/venue/v-%E5%B9%BF%E4%B8%9C%E7%9C%81%E6%B7%B1%E5%9C%B3%E5%B8%82%E5%AE%9D%E5%AE%89%E5%8C%BA%E6%B2%99%E4%BA%95%E8%A1%97%E9%81%93%E8%A5%BF%E6%B6%8C%E4%B8%89%E8%B7%AF_%E8%A5%BF%E8%BE%B9%E6%97%A7%E5%8C%BA.html","查看证据")</f>
        <v/>
      </c>
    </row>
    <row r="374">
      <c r="A374" t="inlineStr">
        <is>
          <t>城中村</t>
        </is>
      </c>
      <c r="B374" t="inlineStr">
        <is>
          <t>西边旧区</t>
        </is>
      </c>
      <c r="C374" t="inlineStr">
        <is>
          <t>1.17</t>
        </is>
      </c>
      <c r="D374" s="5" t="inlineStr">
        <is>
          <t>转运桶应在黄线划定区域内摆放整齐并保持全天关闭（作业状态除外），禁止罩外摆桶供居民投放。（6分）</t>
        </is>
      </c>
      <c r="E374" t="inlineStr">
        <is>
          <t>-2</t>
        </is>
      </c>
      <c r="F374" s="5" t="inlineStr">
        <is>
          <t>（3）监控范围外罩外摆桶并开盖供居民投放(-2)（1处问题）</t>
        </is>
      </c>
      <c r="G374">
        <f>HYPERLINK("https://yueling-buddy.github.io/xxr-inspection-album/weeks/2026-09-03/venue/v-%E5%B9%BF%E4%B8%9C%E7%9C%81%E6%B7%B1%E5%9C%B3%E5%B8%82%E5%AE%9D%E5%AE%89%E5%8C%BA%E6%B2%99%E4%BA%95%E8%A1%97%E9%81%93%E8%A5%BF%E6%B6%8C%E4%B8%89%E8%B7%AF_%E8%A5%BF%E8%BE%B9%E6%97%A7%E5%8C%BA.html","查看证据")</f>
        <v/>
      </c>
    </row>
    <row r="375">
      <c r="A375" t="inlineStr">
        <is>
          <t>城中村</t>
        </is>
      </c>
      <c r="B375" t="inlineStr">
        <is>
          <t>西边旧区</t>
        </is>
      </c>
      <c r="C375" t="inlineStr">
        <is>
          <t>1.18</t>
        </is>
      </c>
      <c r="D375" s="5" t="inlineStr">
        <is>
          <t>禁止在楼层、地面或车库等设置分散式垃圾收集容器。（4分）</t>
        </is>
      </c>
      <c r="E375" t="inlineStr">
        <is>
          <t>-5</t>
        </is>
      </c>
      <c r="F375" s="5" t="inlineStr">
        <is>
          <t>（2）设置分散式垃圾收集容器（随意摆桶未划黄线）(-5)（1处问题）</t>
        </is>
      </c>
      <c r="G375">
        <f>HYPERLINK("https://yueling-buddy.github.io/xxr-inspection-album/weeks/2026-09-03/venue/v-%E5%B9%BF%E4%B8%9C%E7%9C%81%E6%B7%B1%E5%9C%B3%E5%B8%82%E5%AE%9D%E5%AE%89%E5%8C%BA%E6%B2%99%E4%BA%95%E8%A1%97%E9%81%93%E8%A5%BF%E6%B6%8C%E4%B8%89%E8%B7%AF_%E8%A5%BF%E8%BE%B9%E6%97%A7%E5%8C%BA.html","查看证据")</f>
        <v/>
      </c>
    </row>
    <row r="376">
      <c r="A376" t="inlineStr">
        <is>
          <t>城中村</t>
        </is>
      </c>
      <c r="B376" t="inlineStr">
        <is>
          <t>围后底小区</t>
        </is>
      </c>
      <c r="C376" t="inlineStr">
        <is>
          <t>1.6</t>
        </is>
      </c>
      <c r="D376" s="5" t="inlineStr">
        <is>
          <t>设置洗手设施。（2分）</t>
        </is>
      </c>
      <c r="E376" t="inlineStr">
        <is>
          <t>-1</t>
        </is>
      </c>
      <c r="F376" s="5" t="inlineStr">
        <is>
          <t>（3）洗手设施不规范（包括水龙头损坏或明显松动，水龙头不出水，洗手盆堵塞等）(-1)（1处问题）</t>
        </is>
      </c>
      <c r="G376">
        <f>HYPERLINK("https://yueling-buddy.github.io/xxr-inspection-album/weeks/2026-09-03/venue/v-%E5%AE%9D%E5%AE%89%E5%9B%B4%E5%90%8E%E5%BA%95%E5%B0%8F%E5%8C%BA_%E5%9B%B4%E5%90%8E%E5%BA%95%E5%B0%8F%E5%8C%BA.html","查看证据")</f>
        <v/>
      </c>
    </row>
    <row r="377">
      <c r="A377" t="inlineStr">
        <is>
          <t>城中村</t>
        </is>
      </c>
      <c r="B377" t="inlineStr">
        <is>
          <t>围后底小区</t>
        </is>
      </c>
      <c r="C377" t="inlineStr">
        <is>
          <t>1.14</t>
        </is>
      </c>
      <c r="D377" s="5" t="inlineStr">
        <is>
          <t>各类垃圾及时清运，投放点及其周围环境干净整洁，没有垃圾满溢、暴露垃圾、杂物堆放、严重积水或明显异味等问题。（6分）</t>
        </is>
      </c>
      <c r="E377" t="inlineStr">
        <is>
          <t>-2</t>
        </is>
      </c>
      <c r="F377" s="5" t="inlineStr">
        <is>
          <t>（3）环境卫生不整洁（投放点有暴露垃圾、杂物堆放，洗手池严重脏污，地面未硬底化，有明显污水污渍等）(-2)（1处问题）</t>
        </is>
      </c>
      <c r="G377">
        <f>HYPERLINK("https://yueling-buddy.github.io/xxr-inspection-album/weeks/2026-09-03/venue/v-%E5%AE%9D%E5%AE%89%E5%9B%B4%E5%90%8E%E5%BA%95%E5%B0%8F%E5%8C%BA_%E5%9B%B4%E5%90%8E%E5%BA%95%E5%B0%8F%E5%8C%BA.html","查看证据")</f>
        <v/>
      </c>
    </row>
    <row r="378">
      <c r="A378" t="inlineStr">
        <is>
          <t>城中村</t>
        </is>
      </c>
      <c r="B378" t="inlineStr">
        <is>
          <t>菜园小区</t>
        </is>
      </c>
      <c r="C378" t="inlineStr">
        <is>
          <t>1.13</t>
        </is>
      </c>
      <c r="D378" s="5" t="inlineStr">
        <is>
          <t>收集容器外壁及内桶保持干净整洁，避免陈旧性脏污，收集容器内无积水。（6分）</t>
        </is>
      </c>
      <c r="E378" t="inlineStr">
        <is>
          <t>-3</t>
        </is>
      </c>
      <c r="F378" s="5" t="inlineStr">
        <is>
          <t>（2）收集容器外壁、内桶存在明显陈旧性脏污，大片锈迹等(-3)（1处问题）</t>
        </is>
      </c>
      <c r="G378">
        <f>HYPERLINK("https://yueling-buddy.github.io/xxr-inspection-album/weeks/2026-09-03/venue/v-%E5%B9%BF%E4%B8%9C%E7%9C%81%E6%B7%B1%E5%9C%B3%E5%B8%82%E5%AE%9D%E5%AE%89%E5%8C%BA%E6%B2%99%E4%BA%95%E8%A1%97%E9%81%93%E8%A5%BF%E6%B6%8C%E4%B8%89%E8%B7%AF50%E5%8F%B7%E4%BF%A1%E5%BE%B7_%E5%8D%A7%E9%BE%99%E5%9B%AD_%E8%8F%9C%E5%9B%AD%E5%B0%8F%E5%8C%BA.html","查看证据")</f>
        <v/>
      </c>
    </row>
    <row r="379">
      <c r="A379" t="inlineStr">
        <is>
          <t>城中村</t>
        </is>
      </c>
      <c r="B379" t="inlineStr">
        <is>
          <t>祠堂南北区</t>
        </is>
      </c>
      <c r="C379" t="inlineStr">
        <is>
          <t>1.5</t>
        </is>
      </c>
      <c r="D379" s="5" t="inlineStr">
        <is>
          <t>分类标志完整、正确、清晰，各类垃圾收集容器外罩和内桶的颜色正确。（4分）</t>
        </is>
      </c>
      <c r="E379" t="inlineStr">
        <is>
          <t>-2</t>
        </is>
      </c>
      <c r="F379" s="5" t="inlineStr">
        <is>
          <t>（3）外罩和内桶颜色不正确;（不强制要求垃圾桶套袋，若套袋的，收集容器应按垃圾类别对应颜色套袋）(-2)（1处问题）</t>
        </is>
      </c>
      <c r="G379">
        <f>HYPERLINK("https://yueling-buddy.github.io/xxr-inspection-album/weeks/2026-09-03/venue/v-%E6%B7%B1%E5%9C%B3%E5%B8%82%E5%AE%9D%E5%AE%89%E5%8C%BA%E6%B2%99%E4%BA%95%E8%A1%97%E9%81%93%E6%AD%A5%E6%B6%8C%E7%A4%BE%E5%8C%BA%E7%A5%A0%E5%A0%82%E5%8D%97%E5%8C%97%E5%8C%BA_%E7%A5%A0%E5%A0%82%E5%8D%97%E5%8C%97%E5%8C%BA.html","查看证据")</f>
        <v/>
      </c>
    </row>
    <row r="380">
      <c r="A380" t="inlineStr">
        <is>
          <t>城中村</t>
        </is>
      </c>
      <c r="B380" t="inlineStr">
        <is>
          <t>祠堂南北区</t>
        </is>
      </c>
      <c r="C380" t="inlineStr">
        <is>
          <t>1.6</t>
        </is>
      </c>
      <c r="D380" s="5" t="inlineStr">
        <is>
          <t>设置洗手设施。（2分）</t>
        </is>
      </c>
      <c r="E380" t="inlineStr">
        <is>
          <t>-1</t>
        </is>
      </c>
      <c r="F380" s="5" t="inlineStr">
        <is>
          <t>（2）洗手设施缺失(-1)（1处问题）</t>
        </is>
      </c>
      <c r="G380">
        <f>HYPERLINK("https://yueling-buddy.github.io/xxr-inspection-album/weeks/2026-09-03/venue/v-%E6%B7%B1%E5%9C%B3%E5%B8%82%E5%AE%9D%E5%AE%89%E5%8C%BA%E6%B2%99%E4%BA%95%E8%A1%97%E9%81%93%E6%AD%A5%E6%B6%8C%E7%A4%BE%E5%8C%BA%E7%A5%A0%E5%A0%82%E5%8D%97%E5%8C%97%E5%8C%BA_%E7%A5%A0%E5%A0%82%E5%8D%97%E5%8C%97%E5%8C%BA.html","查看证据")</f>
        <v/>
      </c>
    </row>
    <row r="381">
      <c r="A381" t="inlineStr">
        <is>
          <t>城中村</t>
        </is>
      </c>
      <c r="B381" t="inlineStr">
        <is>
          <t>祠堂南北区</t>
        </is>
      </c>
      <c r="C381" t="inlineStr">
        <is>
          <t>1.9</t>
        </is>
      </c>
      <c r="D381" s="5" t="inlineStr">
        <is>
          <t>各设施齐全完好，摆放整齐有序，使用功能正常，没有严重破损、陈旧问题，不得拆除投放口盖板支撑杆。（6分）</t>
        </is>
      </c>
      <c r="E381" t="inlineStr">
        <is>
          <t>-2</t>
        </is>
      </c>
      <c r="F381" s="5" t="inlineStr">
        <is>
          <t>（3）内桶错放导致桶盖无法正常打开，未放置垃圾内桶等影响正常使用(-2)（1处问题）</t>
        </is>
      </c>
      <c r="G381">
        <f>HYPERLINK("https://yueling-buddy.github.io/xxr-inspection-album/weeks/2026-09-03/venue/v-%E6%B7%B1%E5%9C%B3%E5%B8%82%E5%AE%9D%E5%AE%89%E5%8C%BA%E6%B2%99%E4%BA%95%E8%A1%97%E9%81%93%E6%AD%A5%E6%B6%8C%E7%A4%BE%E5%8C%BA%E7%A5%A0%E5%A0%82%E5%8D%97%E5%8C%97%E5%8C%BA_%E7%A5%A0%E5%A0%82%E5%8D%97%E5%8C%97%E5%8C%BA.html","查看证据")</f>
        <v/>
      </c>
    </row>
    <row r="382">
      <c r="A382" t="inlineStr">
        <is>
          <t>城中村</t>
        </is>
      </c>
      <c r="B382" t="inlineStr">
        <is>
          <t>岗瓦埔小区</t>
        </is>
      </c>
      <c r="C382" t="inlineStr">
        <is>
          <t>1.9</t>
        </is>
      </c>
      <c r="D382" s="5" t="inlineStr">
        <is>
          <t>各设施齐全完好，摆放整齐有序，使用功能正常，没有严重破损、陈旧问题，不得拆除投放口盖板支撑杆。（6分）</t>
        </is>
      </c>
      <c r="E382" t="inlineStr">
        <is>
          <t>-2</t>
        </is>
      </c>
      <c r="F382" s="5" t="inlineStr">
        <is>
          <t>（3）内桶错放导致桶盖无法正常打开，未放置垃圾内桶等影响正常使用(-2)（1处问题）</t>
        </is>
      </c>
      <c r="G382">
        <f>HYPERLINK("https://yueling-buddy.github.io/xxr-inspection-album/weeks/2026-09-03/venue/v-%E5%B9%BF%E4%B8%9C%E7%9C%81%E6%B7%B1%E5%9C%B3%E5%B8%82%E5%AE%9D%E5%AE%89%E5%8C%BA%E6%B2%99%E4%BA%95%E8%A1%97%E9%81%93%E6%8C%AF%E5%85%B4%E8%B7%AF29%E5%8F%B7_%E5%B2%97%E7%93%A6%E5%9F%94%E5%B0%8F%E5%8C%BA.html","查看证据")</f>
        <v/>
      </c>
    </row>
    <row r="383">
      <c r="A383" t="inlineStr">
        <is>
          <t>城中村</t>
        </is>
      </c>
      <c r="B383" t="inlineStr">
        <is>
          <t>岗瓦埔小区</t>
        </is>
      </c>
      <c r="C383" t="inlineStr">
        <is>
          <t>1.13</t>
        </is>
      </c>
      <c r="D383" s="5" t="inlineStr">
        <is>
          <t>收集容器外壁及内桶保持干净整洁，避免陈旧性脏污，收集容器内无积水。（6分）</t>
        </is>
      </c>
      <c r="E383" t="inlineStr">
        <is>
          <t>-3</t>
        </is>
      </c>
      <c r="F383" s="5" t="inlineStr">
        <is>
          <t>（2）收集容器外壁、内桶存在明显陈旧性脏污，大片锈迹等(-3)（1处问题）</t>
        </is>
      </c>
      <c r="G383">
        <f>HYPERLINK("https://yueling-buddy.github.io/xxr-inspection-album/weeks/2026-09-03/venue/v-%E5%B9%BF%E4%B8%9C%E7%9C%81%E6%B7%B1%E5%9C%B3%E5%B8%82%E5%AE%9D%E5%AE%89%E5%8C%BA%E6%B2%99%E4%BA%95%E8%A1%97%E9%81%93%E6%8C%AF%E5%85%B4%E8%B7%AF29%E5%8F%B7_%E5%B2%97%E7%93%A6%E5%9F%94%E5%B0%8F%E5%8C%BA.html","查看证据")</f>
        <v/>
      </c>
    </row>
    <row r="384">
      <c r="A384" t="inlineStr">
        <is>
          <t>城中村</t>
        </is>
      </c>
      <c r="B384" t="inlineStr">
        <is>
          <t>埔头桥小区</t>
        </is>
      </c>
      <c r="C384" t="inlineStr">
        <is>
          <t>1.9</t>
        </is>
      </c>
      <c r="D384" s="5" t="inlineStr">
        <is>
          <t>各设施齐全完好，摆放整齐有序，使用功能正常，没有严重破损、陈旧问题，不得拆除投放口盖板支撑杆。（6分）</t>
        </is>
      </c>
      <c r="E384" t="inlineStr">
        <is>
          <t>-2</t>
        </is>
      </c>
      <c r="F384" s="5" t="inlineStr">
        <is>
          <t>（2）分类设施损坏或摆放不整齐(-2)（1处问题）</t>
        </is>
      </c>
      <c r="G384">
        <f>HYPERLINK("https://yueling-buddy.github.io/xxr-inspection-album/weeks/2026-09-03/venue/v-%E6%B7%B1%E5%9C%B3%E5%B8%82%E5%AE%9D%E5%AE%89%E5%8C%BA%E6%B2%99%E4%BA%95%E8%A1%97%E9%81%93%E6%AD%A5%E6%B6%8C%E7%A4%BE%E5%8C%BA%E5%9F%94%E5%A4%B4%E6%A1%A5%E5%B0%8F%E5%8C%BA_%E5%9F%94%E5%A4%B4%E6%A1%A5%E5%B0%8F%E5%8C%BA.html","查看证据")</f>
        <v/>
      </c>
    </row>
    <row r="385">
      <c r="A385" t="inlineStr">
        <is>
          <t>城中村</t>
        </is>
      </c>
      <c r="B385" t="inlineStr">
        <is>
          <t>埔头桥小区</t>
        </is>
      </c>
      <c r="C385" t="inlineStr">
        <is>
          <t>1.15</t>
        </is>
      </c>
      <c r="D385" s="5" t="inlineStr">
        <is>
          <t>投放点均安装具备AI识别功能的视频监控设备，监控视野保持在合理角度。（4分）</t>
        </is>
      </c>
      <c r="E385" t="inlineStr">
        <is>
          <t>-2</t>
        </is>
      </c>
      <c r="F385" s="5" t="inlineStr">
        <is>
          <t>（3）视频监控安装角度不正确(-2)（1处问题）</t>
        </is>
      </c>
      <c r="G385">
        <f>HYPERLINK("https://yueling-buddy.github.io/xxr-inspection-album/weeks/2026-09-03/venue/v-%E6%B7%B1%E5%9C%B3%E5%B8%82%E5%AE%9D%E5%AE%89%E5%8C%BA%E6%B2%99%E4%BA%95%E8%A1%97%E9%81%93%E6%AD%A5%E6%B6%8C%E7%A4%BE%E5%8C%BA%E5%9F%94%E5%A4%B4%E6%A1%A5%E5%B0%8F%E5%8C%BA_%E5%9F%94%E5%A4%B4%E6%A1%A5%E5%B0%8F%E5%8C%BA.html","查看证据")</f>
        <v/>
      </c>
    </row>
    <row r="386">
      <c r="A386" t="inlineStr">
        <is>
          <t>城中村</t>
        </is>
      </c>
      <c r="B386" t="inlineStr">
        <is>
          <t>大园根</t>
        </is>
      </c>
      <c r="C386" t="inlineStr">
        <is>
          <t>1.13</t>
        </is>
      </c>
      <c r="D386" s="5" t="inlineStr">
        <is>
          <t>收集容器外壁及内桶保持干净整洁，避免陈旧性脏污，收集容器内无积水。（6分）</t>
        </is>
      </c>
      <c r="E386" t="inlineStr">
        <is>
          <t>-3</t>
        </is>
      </c>
      <c r="F386" s="5" t="inlineStr">
        <is>
          <t>（2）收集容器外壁、内桶存在明显陈旧性脏污，大片锈迹等(-3)（1处问题）</t>
        </is>
      </c>
      <c r="G386">
        <f>HYPERLINK("https://yueling-buddy.github.io/xxr-inspection-album/weeks/2026-09-03/venue/v-%E6%B7%B1%E5%9C%B3%E5%B8%82%E5%AE%9D%E5%AE%89%E5%8C%BA%E6%B2%99%E4%BA%95%E8%A1%97%E9%81%93%E6%AD%A5%E6%B6%8C%E7%A4%BE%E5%8C%BA%E5%A4%A7%E5%9B%AD%E6%A0%B9%E4%B8%80%E8%B7%AF_%E5%A4%A7%E5%9B%AD%E6%A0%B9.html","查看证据")</f>
        <v/>
      </c>
    </row>
    <row r="387">
      <c r="A387" t="inlineStr">
        <is>
          <t>住宅小区</t>
        </is>
      </c>
      <c r="B387" t="inlineStr">
        <is>
          <t>怡都大厦</t>
        </is>
      </c>
      <c r="C387" t="inlineStr">
        <is>
          <t>1.14</t>
        </is>
      </c>
      <c r="D387" s="5" t="inlineStr">
        <is>
          <t>各类垃圾及时清运，投放点及其周围环境干净整洁，没有垃圾满溢、暴露垃圾、杂物堆放、严重积水或明显异味等问题。（6分）</t>
        </is>
      </c>
      <c r="E387" t="inlineStr">
        <is>
          <t>-2</t>
        </is>
      </c>
      <c r="F387" s="5" t="inlineStr">
        <is>
          <t>（3）环境卫生不整洁（投放点有暴露垃圾、杂物堆放，洗手池严重脏污，地面未硬底化，有明显污水污渍等）(-2)（1处问题）</t>
        </is>
      </c>
      <c r="G387">
        <f>HYPERLINK("https://yueling-buddy.github.io/xxr-inspection-album/weeks/2026-09-03/venue/v-%E7%BD%97%E6%B9%96%E5%8C%BA%E5%8D%97%E6%B9%96%E8%A1%97%E9%81%93%E6%B2%BF%E6%B2%B3%E5%8D%97%E8%B7%AF1062%E5%8F%B7_%E6%80%A1%E9%83%BD%E5%A4%A7%E5%8E%A6.html","查看证据")</f>
        <v/>
      </c>
    </row>
    <row r="388">
      <c r="A388" t="inlineStr">
        <is>
          <t>住宅小区</t>
        </is>
      </c>
      <c r="B388" t="inlineStr">
        <is>
          <t>怡都大厦</t>
        </is>
      </c>
      <c r="C388" t="inlineStr">
        <is>
          <t>1.16</t>
        </is>
      </c>
      <c r="D388" s="5" t="inlineStr">
        <is>
          <t>禁止通过捆绑、卡挡或上锁等方式封闭或遮挡投放口。（4分）</t>
        </is>
      </c>
      <c r="E388" t="inlineStr">
        <is>
          <t>-2</t>
        </is>
      </c>
      <c r="F388" s="5" t="inlineStr">
        <is>
          <t>（3）内桶未开盖(-2)（1处问题）</t>
        </is>
      </c>
      <c r="G388">
        <f>HYPERLINK("https://yueling-buddy.github.io/xxr-inspection-album/weeks/2026-09-03/venue/v-%E7%BD%97%E6%B9%96%E5%8C%BA%E5%8D%97%E6%B9%96%E8%A1%97%E9%81%93%E6%B2%BF%E6%B2%B3%E5%8D%97%E8%B7%AF1062%E5%8F%B7_%E6%80%A1%E9%83%BD%E5%A4%A7%E5%8E%A6.html","查看证据")</f>
        <v/>
      </c>
    </row>
    <row r="389">
      <c r="A389" t="inlineStr">
        <is>
          <t>住宅小区</t>
        </is>
      </c>
      <c r="B389" t="inlineStr">
        <is>
          <t>怡都大厦</t>
        </is>
      </c>
      <c r="C389" t="inlineStr">
        <is>
          <t>1.17</t>
        </is>
      </c>
      <c r="D389" s="5" t="inlineStr">
        <is>
          <t>转运桶应在黄线划定区域内摆放整齐并保持全天关闭（作业状态除外），禁止罩外摆桶供居民投放。（6分）</t>
        </is>
      </c>
      <c r="E389" t="inlineStr">
        <is>
          <t>-2</t>
        </is>
      </c>
      <c r="F389" s="5" t="inlineStr">
        <is>
          <t>（3）监控范围外罩外摆桶并开盖供居民投放(-2)（1处问题）</t>
        </is>
      </c>
      <c r="G389">
        <f>HYPERLINK("https://yueling-buddy.github.io/xxr-inspection-album/weeks/2026-09-03/venue/v-%E7%BD%97%E6%B9%96%E5%8C%BA%E5%8D%97%E6%B9%96%E8%A1%97%E9%81%93%E6%B2%BF%E6%B2%B3%E5%8D%97%E8%B7%AF1062%E5%8F%B7_%E6%80%A1%E9%83%BD%E5%A4%A7%E5%8E%A6.html","查看证据")</f>
        <v/>
      </c>
    </row>
    <row r="390">
      <c r="A390" t="inlineStr">
        <is>
          <t>住宅小区</t>
        </is>
      </c>
      <c r="B390" t="inlineStr">
        <is>
          <t>怡都大厦</t>
        </is>
      </c>
      <c r="C390" t="inlineStr">
        <is>
          <t>2.2</t>
        </is>
      </c>
      <c r="D390" s="5" t="inlineStr">
        <is>
          <t>设置消防设施，使用功能正常，取用方便。（2分）</t>
        </is>
      </c>
      <c r="E390" t="inlineStr">
        <is>
          <t>-2</t>
        </is>
      </c>
      <c r="F390" s="5" t="inlineStr">
        <is>
          <t>（2）消防设施不规范（设备缺失、破损严重/过期等）(-2)（1处问题）</t>
        </is>
      </c>
      <c r="G390">
        <f>HYPERLINK("https://yueling-buddy.github.io/xxr-inspection-album/weeks/2026-09-03/venue/v-%E7%BD%97%E6%B9%96%E5%8C%BA%E5%8D%97%E6%B9%96%E8%A1%97%E9%81%93%E6%B2%BF%E6%B2%B3%E5%8D%97%E8%B7%AF1062%E5%8F%B7_%E6%80%A1%E9%83%BD%E5%A4%A7%E5%8E%A6.html","查看证据")</f>
        <v/>
      </c>
    </row>
    <row r="391">
      <c r="A391" t="inlineStr">
        <is>
          <t>住宅小区</t>
        </is>
      </c>
      <c r="B391" t="inlineStr">
        <is>
          <t>国旅宿舍</t>
        </is>
      </c>
      <c r="C391" t="inlineStr">
        <is>
          <t>1.17</t>
        </is>
      </c>
      <c r="D391" s="5" t="inlineStr">
        <is>
          <t>转运桶应在黄线划定区域内摆放整齐并保持全天关闭（作业状态除外），禁止罩外摆桶供居民投放。（6分）</t>
        </is>
      </c>
      <c r="E391" t="inlineStr">
        <is>
          <t>-2</t>
        </is>
      </c>
      <c r="F391" s="5" t="inlineStr">
        <is>
          <t>（3）监控范围外罩外摆桶并开盖供居民投放(-2)（1处问题）</t>
        </is>
      </c>
      <c r="G391">
        <f>HYPERLINK("https://yueling-buddy.github.io/xxr-inspection-album/weeks/2026-09-03/venue/v-%E5%B9%BF%E4%B8%9C%E7%9C%81%E6%B7%B1%E5%9C%B3%E5%B8%82%E7%BD%97%E6%B9%96%E5%8C%BA%E5%8D%97%E6%B9%96%E8%A1%97%E9%81%93%E6%B2%BF%E6%B2%B3%E5%8D%97%E8%B7%AF1066%E5%8F%B7_%E5%9B%BD%E6%97%85%E5%AE%BF%E8%88%8D.html","查看证据")</f>
        <v/>
      </c>
    </row>
    <row r="392">
      <c r="A392" t="inlineStr">
        <is>
          <t>住宅小区</t>
        </is>
      </c>
      <c r="B392" t="inlineStr">
        <is>
          <t>国旅宿舍</t>
        </is>
      </c>
      <c r="C392" t="inlineStr">
        <is>
          <t>2.2</t>
        </is>
      </c>
      <c r="D392" s="5" t="inlineStr">
        <is>
          <t>设置消防设施，使用功能正常，取用方便。（2分）</t>
        </is>
      </c>
      <c r="E392" t="inlineStr">
        <is>
          <t>-2</t>
        </is>
      </c>
      <c r="F392" s="5" t="inlineStr">
        <is>
          <t>（2）消防设施不规范（设备缺失、破损严重/过期等）(-2)（1处问题）</t>
        </is>
      </c>
      <c r="G392">
        <f>HYPERLINK("https://yueling-buddy.github.io/xxr-inspection-album/weeks/2026-09-03/venue/v-%E5%B9%BF%E4%B8%9C%E7%9C%81%E6%B7%B1%E5%9C%B3%E5%B8%82%E7%BD%97%E6%B9%96%E5%8C%BA%E5%8D%97%E6%B9%96%E8%A1%97%E9%81%93%E6%B2%BF%E6%B2%B3%E5%8D%97%E8%B7%AF1066%E5%8F%B7_%E5%9B%BD%E6%97%85%E5%AE%BF%E8%88%8D.html","查看证据")</f>
        <v/>
      </c>
    </row>
    <row r="393">
      <c r="A393" t="inlineStr">
        <is>
          <t>住宅小区</t>
        </is>
      </c>
      <c r="B393" t="inlineStr">
        <is>
          <t>双城世纪大厦</t>
        </is>
      </c>
      <c r="C393" t="inlineStr">
        <is>
          <t>1.13</t>
        </is>
      </c>
      <c r="D393" s="5" t="inlineStr">
        <is>
          <t>收集容器外壁及内桶保持干净整洁，避免陈旧性脏污，收集容器内无积水。（4分）</t>
        </is>
      </c>
      <c r="E393" t="inlineStr">
        <is>
          <t>-2</t>
        </is>
      </c>
      <c r="F393" s="5" t="inlineStr">
        <is>
          <t>（3）其他问题说明（备注描述）(-2)（1处问题）</t>
        </is>
      </c>
      <c r="G393">
        <f>HYPERLINK("https://yueling-buddy.github.io/xxr-inspection-album/weeks/2026-09-03/venue/v-%E7%BD%97%E6%B9%96%E5%8C%BA%E5%8D%97%E6%B9%96%E8%A1%97%E9%81%93%E6%B2%BF%E6%B2%B3%E5%8D%97%E8%B7%AF1021%E5%8F%B7_%E5%8F%8C%E5%9F%8E%E4%B8%96%E7%BA%AA%E5%A4%A7%E5%8E%A6.html","查看证据")</f>
        <v/>
      </c>
    </row>
    <row r="394">
      <c r="A394" t="inlineStr">
        <is>
          <t>住宅小区</t>
        </is>
      </c>
      <c r="B394" t="inlineStr">
        <is>
          <t>双城世纪大厦</t>
        </is>
      </c>
      <c r="C394" t="inlineStr">
        <is>
          <t>1.17</t>
        </is>
      </c>
      <c r="D394" s="5" t="inlineStr">
        <is>
          <t>转运桶应在黄线划定区域内摆放整齐并保持全天关闭（作业状态除外），禁止罩外摆桶供居民投放。（6分）</t>
        </is>
      </c>
      <c r="E394" t="inlineStr">
        <is>
          <t>-2</t>
        </is>
      </c>
      <c r="F394" s="5" t="inlineStr">
        <is>
          <t>（3）监控范围外罩外摆桶并开盖供居民投放(-2)（1处问题）</t>
        </is>
      </c>
      <c r="G394">
        <f>HYPERLINK("https://yueling-buddy.github.io/xxr-inspection-album/weeks/2026-09-03/venue/v-%E7%BD%97%E6%B9%96%E5%8C%BA%E5%8D%97%E6%B9%96%E8%A1%97%E9%81%93%E6%B2%BF%E6%B2%B3%E5%8D%97%E8%B7%AF1021%E5%8F%B7_%E5%8F%8C%E5%9F%8E%E4%B8%96%E7%BA%AA%E5%A4%A7%E5%8E%A6.html","查看证据")</f>
        <v/>
      </c>
    </row>
    <row r="395">
      <c r="A395" t="inlineStr">
        <is>
          <t>住宅小区</t>
        </is>
      </c>
      <c r="B395" t="inlineStr">
        <is>
          <t>双城世纪大厦</t>
        </is>
      </c>
      <c r="C395" t="inlineStr">
        <is>
          <t>4.4</t>
        </is>
      </c>
      <c r="D395" s="5" t="inlineStr">
        <is>
          <t>设备及周边环境干净整洁，无垃圾满溢、暴露垃圾或杂物堆放等问题。（2分）</t>
        </is>
      </c>
      <c r="E395" t="inlineStr">
        <is>
          <t>-2</t>
        </is>
      </c>
      <c r="F395" s="5" t="inlineStr">
        <is>
          <t>（1）存在问题(-2)（1处问题）</t>
        </is>
      </c>
      <c r="G395">
        <f>HYPERLINK("https://yueling-buddy.github.io/xxr-inspection-album/weeks/2026-09-03/venue/v-%E7%BD%97%E6%B9%96%E5%8C%BA%E5%8D%97%E6%B9%96%E8%A1%97%E9%81%93%E6%B2%BF%E6%B2%B3%E5%8D%97%E8%B7%AF1021%E5%8F%B7_%E5%8F%8C%E5%9F%8E%E4%B8%96%E7%BA%AA%E5%A4%A7%E5%8E%A6.html","查看证据")</f>
        <v/>
      </c>
    </row>
    <row r="396">
      <c r="A396" t="inlineStr">
        <is>
          <t>住宅小区</t>
        </is>
      </c>
      <c r="B396" t="inlineStr">
        <is>
          <t>汇泰大厦</t>
        </is>
      </c>
      <c r="C396" t="inlineStr">
        <is>
          <t>1.5</t>
        </is>
      </c>
      <c r="D396" s="5" t="inlineStr">
        <is>
          <t>分类标志完整、正确、清晰，各类垃圾收集容器外罩和内桶的颜色正确。（4分）</t>
        </is>
      </c>
      <c r="E396" t="inlineStr">
        <is>
          <t>-2</t>
        </is>
      </c>
      <c r="F396" s="5" t="inlineStr">
        <is>
          <t>（3）外罩和内桶颜色不正确;（不强制要求垃圾桶套袋，若套袋的，收集容器应按垃圾类别对应颜色套袋）(-2)（1处问题）</t>
        </is>
      </c>
      <c r="G396">
        <f>HYPERLINK("https://yueling-buddy.github.io/xxr-inspection-album/weeks/2026-09-03/venue/v-%E7%BD%97%E6%B9%96%E5%8C%BA%E5%8D%97%E6%B9%96%E8%A1%97%E9%81%93%E6%B2%BF%E6%B2%B3%E5%8D%97%E8%B7%AF1025%E5%8F%B7_%E6%B1%87%E6%B3%B0%E5%A4%A7%E5%8E%A6.html","查看证据")</f>
        <v/>
      </c>
    </row>
    <row r="397">
      <c r="A397" t="inlineStr">
        <is>
          <t>住宅小区</t>
        </is>
      </c>
      <c r="B397" t="inlineStr">
        <is>
          <t>汇泰大厦</t>
        </is>
      </c>
      <c r="C397" t="inlineStr">
        <is>
          <t>2.3</t>
        </is>
      </c>
      <c r="D397" s="5" t="inlineStr">
        <is>
          <t>各类垃圾及时清运。（2分）</t>
        </is>
      </c>
      <c r="E397" t="inlineStr">
        <is>
          <t>-2</t>
        </is>
      </c>
      <c r="F397" s="5" t="inlineStr">
        <is>
          <t>（2）暂存点内垃圾清运不及时(-2)（1处问题）</t>
        </is>
      </c>
      <c r="G397">
        <f>HYPERLINK("https://yueling-buddy.github.io/xxr-inspection-album/weeks/2026-09-03/venue/v-%E7%BD%97%E6%B9%96%E5%8C%BA%E5%8D%97%E6%B9%96%E8%A1%97%E9%81%93%E6%B2%BF%E6%B2%B3%E5%8D%97%E8%B7%AF1025%E5%8F%B7_%E6%B1%87%E6%B3%B0%E5%A4%A7%E5%8E%A6.html","查看证据")</f>
        <v/>
      </c>
    </row>
    <row r="398">
      <c r="A398" t="inlineStr">
        <is>
          <t>住宅小区</t>
        </is>
      </c>
      <c r="B398" t="inlineStr">
        <is>
          <t>汇泰大厦</t>
        </is>
      </c>
      <c r="C398" t="inlineStr">
        <is>
          <t>2.4</t>
        </is>
      </c>
      <c r="D398" s="5" t="inlineStr">
        <is>
          <t>暂存点及其周围环境干净整洁，没有污水积聚或散落垃圾，禁止存放易燃易爆危险品，禁止违规接电、住人。（2分）</t>
        </is>
      </c>
      <c r="E398" t="inlineStr">
        <is>
          <t>-2</t>
        </is>
      </c>
      <c r="F398" s="5" t="inlineStr">
        <is>
          <t>（4）暂存点外堆放废旧家具等大件垃圾(-2)（1处问题）</t>
        </is>
      </c>
      <c r="G398">
        <f>HYPERLINK("https://yueling-buddy.github.io/xxr-inspection-album/weeks/2026-09-03/venue/v-%E7%BD%97%E6%B9%96%E5%8C%BA%E5%8D%97%E6%B9%96%E8%A1%97%E9%81%93%E6%B2%BF%E6%B2%B3%E5%8D%97%E8%B7%AF1025%E5%8F%B7_%E6%B1%87%E6%B3%B0%E5%A4%A7%E5%8E%A6.html","查看证据")</f>
        <v/>
      </c>
    </row>
    <row r="399">
      <c r="A399" t="inlineStr">
        <is>
          <t>购物中心</t>
        </is>
      </c>
      <c r="B399" t="inlineStr">
        <is>
          <t>天虹数科商业股份有限公司坂田天虹商场</t>
        </is>
      </c>
      <c r="C399" t="inlineStr">
        <is>
          <t>1.6</t>
        </is>
      </c>
      <c r="D399" s="5" t="inlineStr">
        <is>
          <t>各类收集容器的分类标志完整、正确、清晰。</t>
        </is>
      </c>
      <c r="E399" t="inlineStr">
        <is>
          <t>-6</t>
        </is>
      </c>
      <c r="F399" s="5" t="inlineStr">
        <is>
          <t>（2）收集容器标志缺失、错误或模糊不清的。（不强制要求垃圾桶套袋，若套袋的，收集容器应按垃圾类别对应颜色套袋）(-3)（2处问题）</t>
        </is>
      </c>
      <c r="G399">
        <f>HYPERLINK("https://yueling-buddy.github.io/xxr-inspection-album/weeks/2026-09-03/venue/v-%E6%B7%B1%E5%9C%B3%E5%B8%82%E9%BE%99%E5%B2%97%E5%8C%BA%E5%9D%82%E7%94%B0%E8%A1%97%E9%81%93%E5%90%89%E5%8D%8E%E8%B7%AF696%E5%8F%B7%E5%9D%82%E7%94%B0%E5%A4%A9%E8%99%B9%E5%95%86%E5%9C%BA_%E5%A4%A9%E8%99%B9%E6%95%B0%E7%A7%91%E5%95%86%E4%B8%9A%E8%82%A1%E4%BB%BD%E6%9C%89%E9%99%90%E5%85%AC%E5%8F%B8%E5%9D%82%E7%94%B0%E5%A4%A9%E8%99%B9%E5%95%86%E5%9C%BA.html","查看证据")</f>
        <v/>
      </c>
    </row>
    <row r="400">
      <c r="A400" t="inlineStr">
        <is>
          <t>城中村</t>
        </is>
      </c>
      <c r="B400" t="inlineStr">
        <is>
          <t>龙塘村</t>
        </is>
      </c>
      <c r="C400" t="inlineStr">
        <is>
          <t>1.6</t>
        </is>
      </c>
      <c r="D400" s="5" t="inlineStr">
        <is>
          <t>设置洗手设施。（2分）</t>
        </is>
      </c>
      <c r="E400" t="inlineStr">
        <is>
          <t>-2</t>
        </is>
      </c>
      <c r="F400" s="5" t="inlineStr">
        <is>
          <t>（3）洗手设施不规范（包括水龙头损坏或明显松动，水龙头不出水，洗手盆堵塞等）(-1)（4处问题）</t>
        </is>
      </c>
      <c r="G400">
        <f>HYPERLINK("https://yueling-buddy.github.io/xxr-inspection-album/weeks/2026-09-03/venue/v-%E9%BE%99%E5%8D%8E%E5%8C%BA%E6%B0%91%E6%B2%BB%E8%A1%97%E9%81%93%E9%BE%99%E5%A1%98%E7%A4%BE%E5%8C%BA%E9%BE%99%E5%A1%98%E6%9D%91_%E9%BE%99%E5%A1%98%E6%9D%91.html","查看证据")</f>
        <v/>
      </c>
    </row>
    <row r="401">
      <c r="A401" t="inlineStr">
        <is>
          <t>城中村</t>
        </is>
      </c>
      <c r="B401" t="inlineStr">
        <is>
          <t>龙塘村</t>
        </is>
      </c>
      <c r="C401" t="inlineStr">
        <is>
          <t>1.9</t>
        </is>
      </c>
      <c r="D401" s="5" t="inlineStr">
        <is>
          <t>各设施齐全完好，摆放整齐有序，使用功能正常，没有严重破损、陈旧问题，不得拆除投放口盖板支撑杆。（6分）</t>
        </is>
      </c>
      <c r="E401" t="inlineStr">
        <is>
          <t>-2</t>
        </is>
      </c>
      <c r="F401" s="5" t="inlineStr">
        <is>
          <t>（2）分类设施损坏或摆放不整齐(-2)（1处问题）</t>
        </is>
      </c>
      <c r="G401">
        <f>HYPERLINK("https://yueling-buddy.github.io/xxr-inspection-album/weeks/2026-09-03/venue/v-%E9%BE%99%E5%8D%8E%E5%8C%BA%E6%B0%91%E6%B2%BB%E8%A1%97%E9%81%93%E9%BE%99%E5%A1%98%E7%A4%BE%E5%8C%BA%E9%BE%99%E5%A1%98%E6%9D%91_%E9%BE%99%E5%A1%98%E6%9D%91.html","查看证据")</f>
        <v/>
      </c>
    </row>
    <row r="402">
      <c r="A402" t="inlineStr">
        <is>
          <t>城中村</t>
        </is>
      </c>
      <c r="B402" t="inlineStr">
        <is>
          <t>龙塘村</t>
        </is>
      </c>
      <c r="C402" t="inlineStr">
        <is>
          <t>1.12</t>
        </is>
      </c>
      <c r="D402" s="5" t="inlineStr">
        <is>
          <t>桶柜式垃圾投放点柜门应全天保持关闭（作业状态除外）。（4分）</t>
        </is>
      </c>
      <c r="E402" t="inlineStr">
        <is>
          <t>-2</t>
        </is>
      </c>
      <c r="F402" s="5" t="inlineStr">
        <is>
          <t>（2）柜门未保持关闭(-2)（1处问题）</t>
        </is>
      </c>
      <c r="G402">
        <f>HYPERLINK("https://yueling-buddy.github.io/xxr-inspection-album/weeks/2026-09-03/venue/v-%E9%BE%99%E5%8D%8E%E5%8C%BA%E6%B0%91%E6%B2%BB%E8%A1%97%E9%81%93%E9%BE%99%E5%A1%98%E7%A4%BE%E5%8C%BA%E9%BE%99%E5%A1%98%E6%9D%91_%E9%BE%99%E5%A1%98%E6%9D%91.html","查看证据")</f>
        <v/>
      </c>
    </row>
    <row r="403">
      <c r="A403" t="inlineStr">
        <is>
          <t>城中村</t>
        </is>
      </c>
      <c r="B403" t="inlineStr">
        <is>
          <t>龙塘村</t>
        </is>
      </c>
      <c r="C403" t="inlineStr">
        <is>
          <t>1.14</t>
        </is>
      </c>
      <c r="D403" s="5" t="inlineStr">
        <is>
          <t>各类垃圾及时清运，投放点及其周围环境干净整洁，没有垃圾满溢、暴露垃圾、杂物堆放、严重积水或明显异味等问题。（6分）</t>
        </is>
      </c>
      <c r="E403" t="inlineStr">
        <is>
          <t>-2</t>
        </is>
      </c>
      <c r="F403" s="5" t="inlineStr">
        <is>
          <t>（3）环境卫生不整洁（投放点有暴露垃圾、杂物堆放，洗手池严重脏污，地面未硬底化，有明显污水污渍等）(-2)（1处问题）</t>
        </is>
      </c>
      <c r="G403">
        <f>HYPERLINK("https://yueling-buddy.github.io/xxr-inspection-album/weeks/2026-09-03/venue/v-%E9%BE%99%E5%8D%8E%E5%8C%BA%E6%B0%91%E6%B2%BB%E8%A1%97%E9%81%93%E9%BE%99%E5%A1%98%E7%A4%BE%E5%8C%BA%E9%BE%99%E5%A1%98%E6%9D%91_%E9%BE%99%E5%A1%98%E6%9D%91.html","查看证据")</f>
        <v/>
      </c>
    </row>
    <row r="404">
      <c r="A404" t="inlineStr">
        <is>
          <t>城中村</t>
        </is>
      </c>
      <c r="B404" t="inlineStr">
        <is>
          <t>龙塘村</t>
        </is>
      </c>
      <c r="C404" t="inlineStr">
        <is>
          <t>1.17</t>
        </is>
      </c>
      <c r="D404" s="5" t="inlineStr">
        <is>
          <t>转运桶应在黄线划定区域内摆放整齐并保持全天关闭（作业状态除外），禁止罩外摆桶供居民投放。（6分）</t>
        </is>
      </c>
      <c r="E404" t="inlineStr">
        <is>
          <t>-4</t>
        </is>
      </c>
      <c r="F404" s="5" t="inlineStr">
        <is>
          <t>（3）监控范围外罩外摆桶并开盖供居民投放(-2)（2处问题）</t>
        </is>
      </c>
      <c r="G404">
        <f>HYPERLINK("https://yueling-buddy.github.io/xxr-inspection-album/weeks/2026-09-03/venue/v-%E9%BE%99%E5%8D%8E%E5%8C%BA%E6%B0%91%E6%B2%BB%E8%A1%97%E9%81%93%E9%BE%99%E5%A1%98%E7%A4%BE%E5%8C%BA%E9%BE%99%E5%A1%98%E6%9D%91_%E9%BE%99%E5%A1%98%E6%9D%91.html","查看证据")</f>
        <v/>
      </c>
    </row>
    <row r="405">
      <c r="A405" t="inlineStr">
        <is>
          <t>城中村</t>
        </is>
      </c>
      <c r="B405" t="inlineStr">
        <is>
          <t>龙塘新村</t>
        </is>
      </c>
      <c r="C405" t="inlineStr">
        <is>
          <t>1.6</t>
        </is>
      </c>
      <c r="D405" s="5" t="inlineStr">
        <is>
          <t>设置洗手设施。（2分）</t>
        </is>
      </c>
      <c r="E405" t="inlineStr">
        <is>
          <t>-2</t>
        </is>
      </c>
      <c r="F405" s="5" t="inlineStr">
        <is>
          <t>（2）洗手设施缺失(-1)（2处问题）； （3）洗手设施不规范（包括水龙头损坏或明显松动，水龙头不出水，洗手盆堵塞等）(-1)（3处问题）</t>
        </is>
      </c>
      <c r="G405">
        <f>HYPERLINK("https://yueling-buddy.github.io/xxr-inspection-album/weeks/2026-09-03/venue/v-%E5%B9%BF%E4%B8%9C%E7%9C%81%E6%B7%B1%E5%9C%B3%E5%B8%82%E9%BE%99%E5%8D%8E%E5%8C%BA%E6%B0%91%E6%B2%BB%E8%A1%97%E9%81%93%E9%BE%99%E5%A1%98%E6%96%B0%E6%9D%91%E6%B7%B1%E5%9C%B3%E9%BE%99%E8%B1%AA%E9%85%92%E5%BA%97_%E9%BE%99%E5%A1%98%E6%96%B0%E6%9D%91.html","查看证据")</f>
        <v/>
      </c>
    </row>
    <row r="406">
      <c r="A406" t="inlineStr">
        <is>
          <t>城中村</t>
        </is>
      </c>
      <c r="B406" t="inlineStr">
        <is>
          <t>龙塘新村</t>
        </is>
      </c>
      <c r="C406" t="inlineStr">
        <is>
          <t>1.8</t>
        </is>
      </c>
      <c r="D406" s="5" t="inlineStr">
        <is>
          <t>设置公示牌，清晰公示管理责任人和电话、专项垃圾暂存点和废旧织物回收箱位置、厨余垃圾投放时段、各类垃圾收运处理企业等信息。（4分）</t>
        </is>
      </c>
      <c r="E406" t="inlineStr">
        <is>
          <t>-2</t>
        </is>
      </c>
      <c r="F406" s="5" t="inlineStr">
        <is>
          <t>（3）公示牌设置不规范（公示牌脱落、内容缺失、错误或模糊等）(-2)（1处问题）</t>
        </is>
      </c>
      <c r="G406">
        <f>HYPERLINK("https://yueling-buddy.github.io/xxr-inspection-album/weeks/2026-09-03/venue/v-%E5%B9%BF%E4%B8%9C%E7%9C%81%E6%B7%B1%E5%9C%B3%E5%B8%82%E9%BE%99%E5%8D%8E%E5%8C%BA%E6%B0%91%E6%B2%BB%E8%A1%97%E9%81%93%E9%BE%99%E5%A1%98%E6%96%B0%E6%9D%91%E6%B7%B1%E5%9C%B3%E9%BE%99%E8%B1%AA%E9%85%92%E5%BA%97_%E9%BE%99%E5%A1%98%E6%96%B0%E6%9D%91.html","查看证据")</f>
        <v/>
      </c>
    </row>
    <row r="407">
      <c r="A407" t="inlineStr">
        <is>
          <t>城中村</t>
        </is>
      </c>
      <c r="B407" t="inlineStr">
        <is>
          <t>龙塘新村</t>
        </is>
      </c>
      <c r="C407" t="inlineStr">
        <is>
          <t>1.9</t>
        </is>
      </c>
      <c r="D407" s="5" t="inlineStr">
        <is>
          <t>各设施齐全完好，摆放整齐有序，使用功能正常，没有严重破损、陈旧问题，不得拆除投放口盖板支撑杆。（6分）</t>
        </is>
      </c>
      <c r="E407" t="inlineStr">
        <is>
          <t>-2</t>
        </is>
      </c>
      <c r="F407" s="5" t="inlineStr">
        <is>
          <t>（3）内桶错放导致桶盖无法正常打开，未放置垃圾内桶等影响正常使用(-2)（1处问题）</t>
        </is>
      </c>
      <c r="G407">
        <f>HYPERLINK("https://yueling-buddy.github.io/xxr-inspection-album/weeks/2026-09-03/venue/v-%E5%B9%BF%E4%B8%9C%E7%9C%81%E6%B7%B1%E5%9C%B3%E5%B8%82%E9%BE%99%E5%8D%8E%E5%8C%BA%E6%B0%91%E6%B2%BB%E8%A1%97%E9%81%93%E9%BE%99%E5%A1%98%E6%96%B0%E6%9D%91%E6%B7%B1%E5%9C%B3%E9%BE%99%E8%B1%AA%E9%85%92%E5%BA%97_%E9%BE%99%E5%A1%98%E6%96%B0%E6%9D%91.html","查看证据")</f>
        <v/>
      </c>
    </row>
    <row r="408">
      <c r="A408" t="inlineStr">
        <is>
          <t>城中村</t>
        </is>
      </c>
      <c r="B408" t="inlineStr">
        <is>
          <t>龙塘新村</t>
        </is>
      </c>
      <c r="C408" t="inlineStr">
        <is>
          <t>1.13</t>
        </is>
      </c>
      <c r="D408" s="5" t="inlineStr">
        <is>
          <t>收集容器外壁及内桶保持干净整洁，避免陈旧性脏污，收集容器内无积水。（6分）</t>
        </is>
      </c>
      <c r="E408" t="inlineStr">
        <is>
          <t>-3</t>
        </is>
      </c>
      <c r="F408" s="5" t="inlineStr">
        <is>
          <t>（2）收集容器外壁、内桶存在明显陈旧性脏污，大片锈迹等(-3)（1处问题）</t>
        </is>
      </c>
      <c r="G408">
        <f>HYPERLINK("https://yueling-buddy.github.io/xxr-inspection-album/weeks/2026-09-03/venue/v-%E5%B9%BF%E4%B8%9C%E7%9C%81%E6%B7%B1%E5%9C%B3%E5%B8%82%E9%BE%99%E5%8D%8E%E5%8C%BA%E6%B0%91%E6%B2%BB%E8%A1%97%E9%81%93%E9%BE%99%E5%A1%98%E6%96%B0%E6%9D%91%E6%B7%B1%E5%9C%B3%E9%BE%99%E8%B1%AA%E9%85%92%E5%BA%97_%E9%BE%99%E5%A1%98%E6%96%B0%E6%9D%91.html","查看证据")</f>
        <v/>
      </c>
    </row>
    <row r="409">
      <c r="A409" t="inlineStr">
        <is>
          <t>城中村</t>
        </is>
      </c>
      <c r="B409" t="inlineStr">
        <is>
          <t>龙塘新村</t>
        </is>
      </c>
      <c r="C409" t="inlineStr">
        <is>
          <t>1.14</t>
        </is>
      </c>
      <c r="D409" s="5" t="inlineStr">
        <is>
          <t>各类垃圾及时清运，投放点及其周围环境干净整洁，没有垃圾满溢、暴露垃圾、杂物堆放、严重积水或明显异味等问题。（6分）</t>
        </is>
      </c>
      <c r="E409" t="inlineStr">
        <is>
          <t>-2</t>
        </is>
      </c>
      <c r="F409" s="5" t="inlineStr">
        <is>
          <t>（3）环境卫生不整洁（投放点有暴露垃圾、杂物堆放，洗手池严重脏污，地面未硬底化，有明显污水污渍等）(-2)（1处问题）</t>
        </is>
      </c>
      <c r="G409">
        <f>HYPERLINK("https://yueling-buddy.github.io/xxr-inspection-album/weeks/2026-09-03/venue/v-%E5%B9%BF%E4%B8%9C%E7%9C%81%E6%B7%B1%E5%9C%B3%E5%B8%82%E9%BE%99%E5%8D%8E%E5%8C%BA%E6%B0%91%E6%B2%BB%E8%A1%97%E9%81%93%E9%BE%99%E5%A1%98%E6%96%B0%E6%9D%91%E6%B7%B1%E5%9C%B3%E9%BE%99%E8%B1%AA%E9%85%92%E5%BA%97_%E9%BE%99%E5%A1%98%E6%96%B0%E6%9D%91.html","查看证据")</f>
        <v/>
      </c>
    </row>
    <row r="410">
      <c r="A410" t="inlineStr">
        <is>
          <t>城中村</t>
        </is>
      </c>
      <c r="B410" t="inlineStr">
        <is>
          <t>龙塘新村</t>
        </is>
      </c>
      <c r="C410" t="inlineStr">
        <is>
          <t>1.17</t>
        </is>
      </c>
      <c r="D410" s="5" t="inlineStr">
        <is>
          <t>转运桶应在黄线划定区域内摆放整齐并保持全天关闭（作业状态除外），禁止罩外摆桶供居民投放。（6分）</t>
        </is>
      </c>
      <c r="E410" t="inlineStr">
        <is>
          <t>-6</t>
        </is>
      </c>
      <c r="F410" s="5" t="inlineStr">
        <is>
          <t>（2）未在黄线划定区域内(-2)（1处问题）； （3）监控范围外罩外摆桶并开盖供居民投放(-2)（3处问题）</t>
        </is>
      </c>
      <c r="G410">
        <f>HYPERLINK("https://yueling-buddy.github.io/xxr-inspection-album/weeks/2026-09-03/venue/v-%E5%B9%BF%E4%B8%9C%E7%9C%81%E6%B7%B1%E5%9C%B3%E5%B8%82%E9%BE%99%E5%8D%8E%E5%8C%BA%E6%B0%91%E6%B2%BB%E8%A1%97%E9%81%93%E9%BE%99%E5%A1%98%E6%96%B0%E6%9D%91%E6%B7%B1%E5%9C%B3%E9%BE%99%E8%B1%AA%E9%85%92%E5%BA%97_%E9%BE%99%E5%A1%98%E6%96%B0%E6%9D%91.html","查看证据")</f>
        <v/>
      </c>
    </row>
    <row r="411">
      <c r="A411" t="inlineStr">
        <is>
          <t>城中村</t>
        </is>
      </c>
      <c r="B411" t="inlineStr">
        <is>
          <t>龙塘新村</t>
        </is>
      </c>
      <c r="C411" t="inlineStr">
        <is>
          <t>2.4</t>
        </is>
      </c>
      <c r="D411" s="5" t="inlineStr">
        <is>
          <t>暂存点及其周围环境干净整洁，没有污水积聚或散落垃圾，禁止存放易燃易爆危险品，禁止违规接电、住人。（2分）</t>
        </is>
      </c>
      <c r="E411" t="inlineStr">
        <is>
          <t>-2</t>
        </is>
      </c>
      <c r="F411" s="5" t="inlineStr">
        <is>
          <t>（4）暂存点外堆放废旧家具等大件垃圾(-2)（1处问题）</t>
        </is>
      </c>
      <c r="G411">
        <f>HYPERLINK("https://yueling-buddy.github.io/xxr-inspection-album/weeks/2026-09-03/venue/v-%E5%B9%BF%E4%B8%9C%E7%9C%81%E6%B7%B1%E5%9C%B3%E5%B8%82%E9%BE%99%E5%8D%8E%E5%8C%BA%E6%B0%91%E6%B2%BB%E8%A1%97%E9%81%93%E9%BE%99%E5%A1%98%E6%96%B0%E6%9D%91%E6%B7%B1%E5%9C%B3%E9%BE%99%E8%B1%AA%E9%85%92%E5%BA%97_%E9%BE%99%E5%A1%98%E6%96%B0%E6%9D%91.html","查看证据")</f>
        <v/>
      </c>
    </row>
    <row r="412">
      <c r="A412" t="inlineStr">
        <is>
          <t>住宅小区</t>
        </is>
      </c>
      <c r="B412" t="inlineStr">
        <is>
          <t>湖心大厦</t>
        </is>
      </c>
      <c r="C412" t="inlineStr">
        <is>
          <t>1.14</t>
        </is>
      </c>
      <c r="D412" s="5" t="inlineStr">
        <is>
          <t>各类垃圾及时清运，投放点及其周围环境干净整洁，没有垃圾满溢、暴露垃圾、杂物堆放、严重积水或明显异味等问题。（6分）</t>
        </is>
      </c>
      <c r="E412" t="inlineStr">
        <is>
          <t>-2</t>
        </is>
      </c>
      <c r="F412" s="5" t="inlineStr">
        <is>
          <t>（2）垃圾收集容器满溢、未及时清运(-2)（1处问题）</t>
        </is>
      </c>
      <c r="G412">
        <f>HYPERLINK("https://yueling-buddy.github.io/xxr-inspection-album/weeks/2026-09-03/venue/v-%E5%B9%BF%E4%B8%9C%E7%9C%81%E6%B7%B1%E5%9C%B3%E5%B8%82%E7%BD%97%E6%B9%96%E5%8C%BA%E6%B9%96%E5%BF%83%E5%A4%A7%E5%8E%A6_%E6%B9%96%E5%BF%83%E5%A4%A7%E5%8E%A6.html","查看证据")</f>
        <v/>
      </c>
    </row>
    <row r="413">
      <c r="A413" t="inlineStr">
        <is>
          <t>住宅小区</t>
        </is>
      </c>
      <c r="B413" t="inlineStr">
        <is>
          <t>湖心大厦</t>
        </is>
      </c>
      <c r="C413" t="inlineStr">
        <is>
          <t>1.16</t>
        </is>
      </c>
      <c r="D413" s="5" t="inlineStr">
        <is>
          <t>禁止通过捆绑、卡挡或上锁等方式封闭或遮挡投放口。（4分）</t>
        </is>
      </c>
      <c r="E413" t="inlineStr">
        <is>
          <t>-2</t>
        </is>
      </c>
      <c r="F413" s="5" t="inlineStr">
        <is>
          <t>（4）误时投放点未开放(-2)（1处问题）</t>
        </is>
      </c>
      <c r="G413">
        <f>HYPERLINK("https://yueling-buddy.github.io/xxr-inspection-album/weeks/2026-09-03/venue/v-%E5%B9%BF%E4%B8%9C%E7%9C%81%E6%B7%B1%E5%9C%B3%E5%B8%82%E7%BD%97%E6%B9%96%E5%8C%BA%E6%B9%96%E5%BF%83%E5%A4%A7%E5%8E%A6_%E6%B9%96%E5%BF%83%E5%A4%A7%E5%8E%A6.html","查看证据")</f>
        <v/>
      </c>
    </row>
    <row r="414">
      <c r="A414" t="inlineStr">
        <is>
          <t>住宅小区</t>
        </is>
      </c>
      <c r="B414" t="inlineStr">
        <is>
          <t>湖心大厦</t>
        </is>
      </c>
      <c r="C414" t="inlineStr">
        <is>
          <t>1.17</t>
        </is>
      </c>
      <c r="D414" s="5" t="inlineStr">
        <is>
          <t>转运桶应在黄线划定区域内摆放整齐并保持全天关闭（作业状态除外），禁止罩外摆桶供居民投放。（6分）</t>
        </is>
      </c>
      <c r="E414" t="inlineStr">
        <is>
          <t>-2</t>
        </is>
      </c>
      <c r="F414" s="5" t="inlineStr">
        <is>
          <t>（3）监控范围外罩外摆桶并开盖供居民投放(-2)（1处问题）</t>
        </is>
      </c>
      <c r="G414">
        <f>HYPERLINK("https://yueling-buddy.github.io/xxr-inspection-album/weeks/2026-09-03/venue/v-%E5%B9%BF%E4%B8%9C%E7%9C%81%E6%B7%B1%E5%9C%B3%E5%B8%82%E7%BD%97%E6%B9%96%E5%8C%BA%E6%B9%96%E5%BF%83%E5%A4%A7%E5%8E%A6_%E6%B9%96%E5%BF%83%E5%A4%A7%E5%8E%A6.html","查看证据")</f>
        <v/>
      </c>
    </row>
    <row r="415">
      <c r="A415" t="inlineStr">
        <is>
          <t>住宅小区</t>
        </is>
      </c>
      <c r="B415" t="inlineStr">
        <is>
          <t>南华街小区</t>
        </is>
      </c>
      <c r="C415" t="inlineStr">
        <is>
          <t>1.13</t>
        </is>
      </c>
      <c r="D415" s="5" t="inlineStr">
        <is>
          <t>收集容器外壁及内桶保持干净整洁，避免陈旧性脏污，收集容器内无积水。（4分）</t>
        </is>
      </c>
      <c r="E415" t="inlineStr">
        <is>
          <t>-2</t>
        </is>
      </c>
      <c r="F415" s="5" t="inlineStr">
        <is>
          <t>（2）收集容器外壁、内桶存在明显陈旧性脏污，大片锈迹等(-2)（1处问题）</t>
        </is>
      </c>
      <c r="G415">
        <f>HYPERLINK("https://yueling-buddy.github.io/xxr-inspection-album/weeks/2026-09-03/venue/v-%E7%BD%97%E6%B9%96%E5%8C%BA%E5%8D%97%E6%B9%96%E8%A1%97%E9%81%93%E6%98%A5%E9%A3%8E%E8%B7%AF2001%E5%8F%B7_%E5%8D%97%E5%8D%8E%E8%A1%97%E5%B0%8F%E5%8C%BA.html","查看证据")</f>
        <v/>
      </c>
    </row>
    <row r="416">
      <c r="A416" t="inlineStr">
        <is>
          <t>住宅小区</t>
        </is>
      </c>
      <c r="B416" t="inlineStr">
        <is>
          <t>南华街小区</t>
        </is>
      </c>
      <c r="C416" t="inlineStr">
        <is>
          <t>1.14</t>
        </is>
      </c>
      <c r="D416" s="5" t="inlineStr">
        <is>
          <t>各类垃圾及时清运，投放点及其周围环境干净整洁，没有垃圾满溢、暴露垃圾、杂物堆放、严重积水或明显异味等问题。（6分）</t>
        </is>
      </c>
      <c r="E416" t="inlineStr">
        <is>
          <t>-2</t>
        </is>
      </c>
      <c r="F416" s="5" t="inlineStr">
        <is>
          <t>（3）环境卫生不整洁（投放点有暴露垃圾、杂物堆放，洗手池严重脏污，地面未硬底化，有明显污水污渍等）(-2)（1处问题）</t>
        </is>
      </c>
      <c r="G416">
        <f>HYPERLINK("https://yueling-buddy.github.io/xxr-inspection-album/weeks/2026-09-03/venue/v-%E7%BD%97%E6%B9%96%E5%8C%BA%E5%8D%97%E6%B9%96%E8%A1%97%E9%81%93%E6%98%A5%E9%A3%8E%E8%B7%AF2001%E5%8F%B7_%E5%8D%97%E5%8D%8E%E8%A1%97%E5%B0%8F%E5%8C%BA.html","查看证据")</f>
        <v/>
      </c>
    </row>
    <row r="417">
      <c r="A417" t="inlineStr">
        <is>
          <t>住宅小区</t>
        </is>
      </c>
      <c r="B417" t="inlineStr">
        <is>
          <t>南华街小区</t>
        </is>
      </c>
      <c r="C417" t="inlineStr">
        <is>
          <t>2.4</t>
        </is>
      </c>
      <c r="D417" s="5" t="inlineStr">
        <is>
          <t>暂存点及其周围环境干净整洁，没有污水积聚或散落垃圾，禁止存放易燃易爆危险品，禁止违规接电、住人。（2分）</t>
        </is>
      </c>
      <c r="E417" t="inlineStr">
        <is>
          <t>-2</t>
        </is>
      </c>
      <c r="F417" s="5" t="inlineStr">
        <is>
          <t>（2）暂存点及周围环境不整洁（垃圾堆放杂乱、垃圾散落、地面污水积聚等）(-2)（1处问题）</t>
        </is>
      </c>
      <c r="G417">
        <f>HYPERLINK("https://yueling-buddy.github.io/xxr-inspection-album/weeks/2026-09-03/venue/v-%E7%BD%97%E6%B9%96%E5%8C%BA%E5%8D%97%E6%B9%96%E8%A1%97%E9%81%93%E6%98%A5%E9%A3%8E%E8%B7%AF2001%E5%8F%B7_%E5%8D%97%E5%8D%8E%E8%A1%97%E5%B0%8F%E5%8C%BA.html","查看证据")</f>
        <v/>
      </c>
    </row>
    <row r="418">
      <c r="A418" t="inlineStr">
        <is>
          <t>住宅小区</t>
        </is>
      </c>
      <c r="B418" t="inlineStr">
        <is>
          <t>海丰苑大厦</t>
        </is>
      </c>
      <c r="C418" t="inlineStr">
        <is>
          <t>2.2</t>
        </is>
      </c>
      <c r="D418" s="5" t="inlineStr">
        <is>
          <t>设置消防设施，使用功能正常，取用方便。（2分）</t>
        </is>
      </c>
      <c r="E418" t="inlineStr">
        <is>
          <t>-2</t>
        </is>
      </c>
      <c r="F418" s="5" t="inlineStr">
        <is>
          <t>（2）消防设施不规范（设备缺失、破损严重/过期等）(-2)（1处问题）</t>
        </is>
      </c>
      <c r="G418">
        <f>HYPERLINK("https://yueling-buddy.github.io/xxr-inspection-album/weeks/2026-09-03/venue/v-%E5%B9%BF%E4%B8%9C%E7%9C%81%E6%B7%B1%E5%9C%B3%E5%B8%82%E7%BD%97%E6%B9%96%E5%8C%BA%E6%B5%B7%E4%B8%B0%E8%8B%91_%E6%B5%B7%E4%B8%B0%E8%8B%91%E5%A4%A7%E5%8E%A6.html","查看证据")</f>
        <v/>
      </c>
    </row>
    <row r="419">
      <c r="A419" t="inlineStr">
        <is>
          <t>住宅小区</t>
        </is>
      </c>
      <c r="B419" t="inlineStr">
        <is>
          <t>南洋大厦</t>
        </is>
      </c>
      <c r="C419" t="inlineStr">
        <is>
          <t>1.13</t>
        </is>
      </c>
      <c r="D419" s="5" t="inlineStr">
        <is>
          <t>收集容器外壁及内桶保持干净整洁，避免陈旧性脏污，收集容器内无积水。（4分）</t>
        </is>
      </c>
      <c r="E419" t="inlineStr">
        <is>
          <t>-4</t>
        </is>
      </c>
      <c r="F419" s="5" t="inlineStr">
        <is>
          <t>（2）收集容器外壁、内桶存在明显陈旧性脏污，大片锈迹等(-2)（2处问题）</t>
        </is>
      </c>
      <c r="G419">
        <f>HYPERLINK("https://yueling-buddy.github.io/xxr-inspection-album/weeks/2026-09-03/venue/v-%E5%B9%BF%E4%B8%9C%E7%9C%81%E6%B7%B1%E5%9C%B3%E5%B8%82%E7%BD%97%E6%B9%96%E5%8C%BA%E5%8D%97%E6%B4%8B%E5%A4%A7%E5%8E%A6_%E5%8D%97%E6%B4%8B%E5%A4%A7%E5%8E%A6.html","查看证据")</f>
        <v/>
      </c>
    </row>
    <row r="420">
      <c r="A420" t="inlineStr">
        <is>
          <t>住宅小区</t>
        </is>
      </c>
      <c r="B420" t="inlineStr">
        <is>
          <t>嘉御豪园</t>
        </is>
      </c>
      <c r="C420" t="inlineStr">
        <is>
          <t>1.4</t>
        </is>
      </c>
      <c r="D420" s="5" t="inlineStr">
        <is>
          <t>至少设置一处厨余垃圾误时投放点，张贴误时投放点标识，并保持24小时开放。（2分）</t>
        </is>
      </c>
      <c r="E420" t="inlineStr">
        <is>
          <t>-2</t>
        </is>
      </c>
      <c r="F420" s="5" t="inlineStr">
        <is>
          <t>否(-2)（1处问题）</t>
        </is>
      </c>
      <c r="G420">
        <f>HYPERLINK("https://yueling-buddy.github.io/xxr-inspection-album/weeks/2026-09-03/venue/v-%E5%9D%82%E7%94%B0%E8%A1%97%E9%81%93%E5%98%89%E5%BE%A1%E8%B1%AA%E5%9B%AD_%E5%98%89%E5%BE%A1%E8%B1%AA%E5%9B%AD.html","查看证据")</f>
        <v/>
      </c>
    </row>
    <row r="421">
      <c r="A421" t="inlineStr">
        <is>
          <t>住宅小区</t>
        </is>
      </c>
      <c r="B421" t="inlineStr">
        <is>
          <t>嘉御豪园</t>
        </is>
      </c>
      <c r="C421" t="inlineStr">
        <is>
          <t>1.8</t>
        </is>
      </c>
      <c r="D421" s="5" t="inlineStr">
        <is>
          <t>设置公示牌，清晰公示管理责任人和电话、专项垃圾暂存点和废旧织物回收箱位置、厨余垃圾投放时段、各类垃圾收运处理企业等信息。（4分）</t>
        </is>
      </c>
      <c r="E421" t="inlineStr">
        <is>
          <t>-2</t>
        </is>
      </c>
      <c r="F421" s="5" t="inlineStr">
        <is>
          <t>（3）公示牌设置不规范（公示牌脱落、内容缺失、错误或模糊等）(-2)（1处问题）</t>
        </is>
      </c>
      <c r="G421">
        <f>HYPERLINK("https://yueling-buddy.github.io/xxr-inspection-album/weeks/2026-09-03/venue/v-%E5%9D%82%E7%94%B0%E8%A1%97%E9%81%93%E5%98%89%E5%BE%A1%E8%B1%AA%E5%9B%AD_%E5%98%89%E5%BE%A1%E8%B1%AA%E5%9B%AD.html","查看证据")</f>
        <v/>
      </c>
    </row>
    <row r="422">
      <c r="A422" t="inlineStr">
        <is>
          <t>住宅小区</t>
        </is>
      </c>
      <c r="B422" t="inlineStr">
        <is>
          <t>嘉御豪园</t>
        </is>
      </c>
      <c r="C422" t="inlineStr">
        <is>
          <t>2.4</t>
        </is>
      </c>
      <c r="D422" s="5" t="inlineStr">
        <is>
          <t>暂存点及其周围环境干净整洁，没有污水积聚或散落垃圾，禁止存放易燃易爆危险品，禁止违规接电、住人。（2分）</t>
        </is>
      </c>
      <c r="E422" t="inlineStr">
        <is>
          <t>-2</t>
        </is>
      </c>
      <c r="F422" s="5" t="inlineStr">
        <is>
          <t>（4）暂存点外堆放废旧家具等大件垃圾(-2)（1处问题）</t>
        </is>
      </c>
      <c r="G422">
        <f>HYPERLINK("https://yueling-buddy.github.io/xxr-inspection-album/weeks/2026-09-03/venue/v-%E5%9D%82%E7%94%B0%E8%A1%97%E9%81%93%E5%98%89%E5%BE%A1%E8%B1%AA%E5%9B%AD_%E5%98%89%E5%BE%A1%E8%B1%AA%E5%9B%AD.html","查看证据")</f>
        <v/>
      </c>
    </row>
    <row r="423">
      <c r="A423" t="inlineStr">
        <is>
          <t>住宅小区</t>
        </is>
      </c>
      <c r="B423" t="inlineStr">
        <is>
          <t>御珑豪园</t>
        </is>
      </c>
      <c r="C423" t="inlineStr">
        <is>
          <t>1.14</t>
        </is>
      </c>
      <c r="D423" s="5" t="inlineStr">
        <is>
          <t>各类垃圾及时清运，投放点及其周围环境干净整洁，没有垃圾满溢、暴露垃圾、杂物堆放、严重积水或明显异味等问题。（6分）</t>
        </is>
      </c>
      <c r="E423" t="inlineStr">
        <is>
          <t>-2</t>
        </is>
      </c>
      <c r="F423" s="5" t="inlineStr">
        <is>
          <t>（3）环境卫生不整洁（投放点有暴露垃圾、杂物堆放，洗手池严重脏污，地面未硬底化，有明显污水污渍等）(-2)（1处问题）</t>
        </is>
      </c>
      <c r="G423">
        <f>HYPERLINK("https://yueling-buddy.github.io/xxr-inspection-album/weeks/2026-09-03/venue/v-%E5%B9%BF%E4%B8%9C%E7%9C%81%E6%B7%B1%E5%9C%B3%E5%B8%82%E9%BE%99%E5%B2%97%E5%8C%BA_%E6%B3%B0%E5%B1%B1%E8%B7%AF_%E5%BE%A1%E7%8F%91%E8%B1%AA%E5%9B%AD.html","查看证据")</f>
        <v/>
      </c>
    </row>
    <row r="424">
      <c r="A424" t="inlineStr">
        <is>
          <t>住宅小区</t>
        </is>
      </c>
      <c r="B424" t="inlineStr">
        <is>
          <t>御珑豪园</t>
        </is>
      </c>
      <c r="C424" t="inlineStr">
        <is>
          <t>1.17</t>
        </is>
      </c>
      <c r="D424" s="5" t="inlineStr">
        <is>
          <t>转运桶应在黄线划定区域内摆放整齐并保持全天关闭（作业状态除外），禁止罩外摆桶供居民投放。（6分）</t>
        </is>
      </c>
      <c r="E424" t="inlineStr">
        <is>
          <t>-6</t>
        </is>
      </c>
      <c r="F424" s="5" t="inlineStr">
        <is>
          <t>（3）监控范围外罩外摆桶并开盖供居民投放(-2)（4处问题）</t>
        </is>
      </c>
      <c r="G424">
        <f>HYPERLINK("https://yueling-buddy.github.io/xxr-inspection-album/weeks/2026-09-03/venue/v-%E5%B9%BF%E4%B8%9C%E7%9C%81%E6%B7%B1%E5%9C%B3%E5%B8%82%E9%BE%99%E5%B2%97%E5%8C%BA_%E6%B3%B0%E5%B1%B1%E8%B7%AF_%E5%BE%A1%E7%8F%91%E8%B1%AA%E5%9B%AD.html","查看证据")</f>
        <v/>
      </c>
    </row>
    <row r="425">
      <c r="A425" t="inlineStr">
        <is>
          <t>住宅小区</t>
        </is>
      </c>
      <c r="B425" t="inlineStr">
        <is>
          <t>御珑豪园</t>
        </is>
      </c>
      <c r="C425" t="inlineStr">
        <is>
          <t>2.1</t>
        </is>
      </c>
      <c r="D425" s="5" t="inlineStr">
        <is>
          <t>设置标识牌，外观使用“深i回收”标识，封闭围挡，地面硬底化。（2分）</t>
        </is>
      </c>
      <c r="E425" t="inlineStr">
        <is>
          <t>-2</t>
        </is>
      </c>
      <c r="F425" s="5" t="inlineStr">
        <is>
          <t>（3）无标识牌，或标识牌被遮挡、模糊/脱落/未更新等(-2)（1处问题）</t>
        </is>
      </c>
      <c r="G425">
        <f>HYPERLINK("https://yueling-buddy.github.io/xxr-inspection-album/weeks/2026-09-03/venue/v-%E5%B9%BF%E4%B8%9C%E7%9C%81%E6%B7%B1%E5%9C%B3%E5%B8%82%E9%BE%99%E5%B2%97%E5%8C%BA_%E6%B3%B0%E5%B1%B1%E8%B7%AF_%E5%BE%A1%E7%8F%91%E8%B1%AA%E5%9B%AD.html","查看证据")</f>
        <v/>
      </c>
    </row>
    <row r="426">
      <c r="A426" t="inlineStr">
        <is>
          <t>商务写字楼</t>
        </is>
      </c>
      <c r="B426" t="inlineStr">
        <is>
          <t>天健云途创智中心</t>
        </is>
      </c>
      <c r="C426" t="inlineStr">
        <is>
          <t>1.4</t>
        </is>
      </c>
      <c r="D426" s="5" t="inlineStr">
        <is>
          <t>各类收集容器的分类标志完整、正确、清晰。</t>
        </is>
      </c>
      <c r="E426" t="inlineStr">
        <is>
          <t>-6</t>
        </is>
      </c>
      <c r="F426" s="5" t="inlineStr">
        <is>
          <t>（2）收集容器标志缺失、错误或模糊不清的。（不强制要求垃圾桶套袋，若套袋的，收集容器应按垃圾类别对应颜色套袋）(-3)（2处问题）</t>
        </is>
      </c>
      <c r="G426">
        <f>HYPERLINK("https://yueling-buddy.github.io/xxr-inspection-album/weeks/2026-09-03/venue/v-%E5%B9%BF%E4%B8%9C%E7%9C%81%E6%B7%B1%E5%9C%B3%E5%B8%82%E5%8D%97%E5%B1%B1%E5%8C%BA%E6%B2%99%E6%B2%B3%E8%A1%97%E9%81%93%E5%A4%A9%E5%81%A5%E7%A7%91%E6%8A%80%E5%A4%A7%E5%8E%A6_%E5%A4%A9%E5%81%A5%E4%BA%91%E9%80%94%E5%88%9B%E6%99%BA%E4%B8%AD%E5%BF%83.html","查看证据")</f>
        <v/>
      </c>
    </row>
    <row r="427">
      <c r="A427" t="inlineStr">
        <is>
          <t>住宅小区</t>
        </is>
      </c>
      <c r="B427" t="inlineStr">
        <is>
          <t>朗侨峰居</t>
        </is>
      </c>
      <c r="C427" t="inlineStr">
        <is>
          <t>1.4</t>
        </is>
      </c>
      <c r="D427" s="5" t="inlineStr">
        <is>
          <t>至少设置一处厨余垃圾误时投放点，张贴误时投放点标识，并保持24小时开放。（2分）</t>
        </is>
      </c>
      <c r="E427" t="inlineStr">
        <is>
          <t>-2</t>
        </is>
      </c>
      <c r="F427" s="5" t="inlineStr">
        <is>
          <t>否(-2)（1处问题）</t>
        </is>
      </c>
      <c r="G427">
        <f>HYPERLINK("https://yueling-buddy.github.io/xxr-inspection-album/weeks/2026-09-03/venue/v-%E6%B7%B1%E5%9C%B3%E5%B8%82%E5%8C%97%E7%8E%AF%E8%B7%AF%E4%B8%8E%E6%B7%B1%E4%BA%91%E8%B7%AF%E4%BA%A4%E7%95%8C%E5%A4%84_%E6%9C%97%E4%BE%A8%E5%B3%B0%E5%B1%85.html","查看证据")</f>
        <v/>
      </c>
    </row>
    <row r="428">
      <c r="A428" t="inlineStr">
        <is>
          <t>住宅小区</t>
        </is>
      </c>
      <c r="B428" t="inlineStr">
        <is>
          <t>朗侨峰居</t>
        </is>
      </c>
      <c r="C428" t="inlineStr">
        <is>
          <t>1.13</t>
        </is>
      </c>
      <c r="D428" s="5" t="inlineStr">
        <is>
          <t>收集容器外壁及内桶保持干净整洁，避免陈旧性脏污，收集容器内无积水。（4分）</t>
        </is>
      </c>
      <c r="E428" t="inlineStr">
        <is>
          <t>-2</t>
        </is>
      </c>
      <c r="F428" s="5" t="inlineStr">
        <is>
          <t>（2）收集容器外壁、内桶存在明显陈旧性脏污，大片锈迹等(-2)（1处问题）</t>
        </is>
      </c>
      <c r="G428">
        <f>HYPERLINK("https://yueling-buddy.github.io/xxr-inspection-album/weeks/2026-09-03/venue/v-%E6%B7%B1%E5%9C%B3%E5%B8%82%E5%8C%97%E7%8E%AF%E8%B7%AF%E4%B8%8E%E6%B7%B1%E4%BA%91%E8%B7%AF%E4%BA%A4%E7%95%8C%E5%A4%84_%E6%9C%97%E4%BE%A8%E5%B3%B0%E5%B1%85.html","查看证据")</f>
        <v/>
      </c>
    </row>
    <row r="429">
      <c r="A429" t="inlineStr">
        <is>
          <t>住宅小区</t>
        </is>
      </c>
      <c r="B429" t="inlineStr">
        <is>
          <t>朗侨峰居</t>
        </is>
      </c>
      <c r="C429" t="inlineStr">
        <is>
          <t>2.3</t>
        </is>
      </c>
      <c r="D429" s="5" t="inlineStr">
        <is>
          <t>各类垃圾及时清运。（2分）</t>
        </is>
      </c>
      <c r="E429" t="inlineStr">
        <is>
          <t>-2</t>
        </is>
      </c>
      <c r="F429" s="5" t="inlineStr">
        <is>
          <t>（2）暂存点内垃圾清运不及时(-2)（1处问题）</t>
        </is>
      </c>
      <c r="G429">
        <f>HYPERLINK("https://yueling-buddy.github.io/xxr-inspection-album/weeks/2026-09-03/venue/v-%E6%B7%B1%E5%9C%B3%E5%B8%82%E5%8C%97%E7%8E%AF%E8%B7%AF%E4%B8%8E%E6%B7%B1%E4%BA%91%E8%B7%AF%E4%BA%A4%E7%95%8C%E5%A4%84_%E6%9C%97%E4%BE%A8%E5%B3%B0%E5%B1%85.html","查看证据")</f>
        <v/>
      </c>
    </row>
    <row r="430">
      <c r="A430" t="inlineStr">
        <is>
          <t>住宅小区</t>
        </is>
      </c>
      <c r="B430" t="inlineStr">
        <is>
          <t>深铁懿府</t>
        </is>
      </c>
      <c r="C430" t="inlineStr">
        <is>
          <t>1.4</t>
        </is>
      </c>
      <c r="D430" s="5" t="inlineStr">
        <is>
          <t>至少设置一处厨余垃圾误时投放点，张贴误时投放点标识，并保持24小时开放。（2分）</t>
        </is>
      </c>
      <c r="E430" t="inlineStr">
        <is>
          <t>-2</t>
        </is>
      </c>
      <c r="F430" s="5" t="inlineStr">
        <is>
          <t>否(-2)（1处问题）</t>
        </is>
      </c>
      <c r="G430">
        <f>HYPERLINK("https://yueling-buddy.github.io/xxr-inspection-album/weeks/2026-09-03/venue/v-%E6%B7%B1%E5%9C%B3%E5%B8%82%E5%8D%97%E5%B1%B1%E5%8C%BA%E6%B2%99%E6%B2%B3%E8%A1%97%E9%81%93%E6%B7%B1%E5%AE%89%E8%B7%AF33%E5%8F%B7%E6%B7%B1%E9%93%81%E6%87%BF%E5%BA%9C_%E6%B7%B1%E9%93%81%E6%87%BF%E5%BA%9C.html","查看证据")</f>
        <v/>
      </c>
    </row>
    <row r="431">
      <c r="A431" t="inlineStr">
        <is>
          <t>住宅小区</t>
        </is>
      </c>
      <c r="B431" t="inlineStr">
        <is>
          <t>深铁懿府</t>
        </is>
      </c>
      <c r="C431" t="inlineStr">
        <is>
          <t>1.8</t>
        </is>
      </c>
      <c r="D431" s="5" t="inlineStr">
        <is>
          <t>设置公示牌，清晰公示管理责任人和电话、专项垃圾暂存点和废旧织物回收箱位置、厨余垃圾投放时段、各类垃圾收运处理企业等信息。（4分）</t>
        </is>
      </c>
      <c r="E431" t="inlineStr">
        <is>
          <t>-4</t>
        </is>
      </c>
      <c r="F431" s="5" t="inlineStr">
        <is>
          <t>（2）责任公示牌缺失(-2)（4处问题）</t>
        </is>
      </c>
      <c r="G431">
        <f>HYPERLINK("https://yueling-buddy.github.io/xxr-inspection-album/weeks/2026-09-03/venue/v-%E6%B7%B1%E5%9C%B3%E5%B8%82%E5%8D%97%E5%B1%B1%E5%8C%BA%E6%B2%99%E6%B2%B3%E8%A1%97%E9%81%93%E6%B7%B1%E5%AE%89%E8%B7%AF33%E5%8F%B7%E6%B7%B1%E9%93%81%E6%87%BF%E5%BA%9C_%E6%B7%B1%E9%93%81%E6%87%BF%E5%BA%9C.html","查看证据")</f>
        <v/>
      </c>
    </row>
    <row r="432">
      <c r="A432" t="inlineStr">
        <is>
          <t>住宅小区</t>
        </is>
      </c>
      <c r="B432" t="inlineStr">
        <is>
          <t>深铁懿府</t>
        </is>
      </c>
      <c r="C432" t="inlineStr">
        <is>
          <t>1.14</t>
        </is>
      </c>
      <c r="D432" s="5" t="inlineStr">
        <is>
          <t>各类垃圾及时清运，投放点及其周围环境干净整洁，没有垃圾满溢、暴露垃圾、杂物堆放、严重积水或明显异味等问题。（6分）</t>
        </is>
      </c>
      <c r="E432" t="inlineStr">
        <is>
          <t>-2</t>
        </is>
      </c>
      <c r="F432" s="5" t="inlineStr">
        <is>
          <t>（3）环境卫生不整洁（投放点有暴露垃圾、杂物堆放，洗手池严重脏污，地面未硬底化，有明显污水污渍等）(-2)（1处问题）</t>
        </is>
      </c>
      <c r="G432">
        <f>HYPERLINK("https://yueling-buddy.github.io/xxr-inspection-album/weeks/2026-09-03/venue/v-%E6%B7%B1%E5%9C%B3%E5%B8%82%E5%8D%97%E5%B1%B1%E5%8C%BA%E6%B2%99%E6%B2%B3%E8%A1%97%E9%81%93%E6%B7%B1%E5%AE%89%E8%B7%AF33%E5%8F%B7%E6%B7%B1%E9%93%81%E6%87%BF%E5%BA%9C_%E6%B7%B1%E9%93%81%E6%87%BF%E5%BA%9C.html","查看证据")</f>
        <v/>
      </c>
    </row>
    <row r="433">
      <c r="A433" t="inlineStr">
        <is>
          <t>住宅小区</t>
        </is>
      </c>
      <c r="B433" t="inlineStr">
        <is>
          <t>深铁懿府</t>
        </is>
      </c>
      <c r="C433" t="inlineStr">
        <is>
          <t>2.1</t>
        </is>
      </c>
      <c r="D433" s="5" t="inlineStr">
        <is>
          <t>设置标识牌，外观使用“深i回收”标识，封闭围挡，地面硬底化。（2分）</t>
        </is>
      </c>
      <c r="E433" t="inlineStr">
        <is>
          <t>-2</t>
        </is>
      </c>
      <c r="F433" s="5" t="inlineStr">
        <is>
          <t>（5）其他问题说明（备注描述）(-2)（1处问题）</t>
        </is>
      </c>
      <c r="G433">
        <f>HYPERLINK("https://yueling-buddy.github.io/xxr-inspection-album/weeks/2026-09-03/venue/v-%E6%B7%B1%E5%9C%B3%E5%B8%82%E5%8D%97%E5%B1%B1%E5%8C%BA%E6%B2%99%E6%B2%B3%E8%A1%97%E9%81%93%E6%B7%B1%E5%AE%89%E8%B7%AF33%E5%8F%B7%E6%B7%B1%E9%93%81%E6%87%BF%E5%BA%9C_%E6%B7%B1%E9%93%81%E6%87%BF%E5%BA%9C.html","查看证据")</f>
        <v/>
      </c>
    </row>
    <row r="434">
      <c r="A434" t="inlineStr">
        <is>
          <t>住宅小区</t>
        </is>
      </c>
      <c r="B434" t="inlineStr">
        <is>
          <t>深铁懿府</t>
        </is>
      </c>
      <c r="C434" t="inlineStr">
        <is>
          <t>2.2</t>
        </is>
      </c>
      <c r="D434" s="5" t="inlineStr">
        <is>
          <t>设置消防设施，使用功能正常，取用方便。（2分）</t>
        </is>
      </c>
      <c r="E434" t="inlineStr">
        <is>
          <t>-2</t>
        </is>
      </c>
      <c r="F434" s="5" t="inlineStr">
        <is>
          <t>（2）消防设施不规范（设备缺失、破损严重/过期等）(-2)（1处问题）</t>
        </is>
      </c>
      <c r="G434">
        <f>HYPERLINK("https://yueling-buddy.github.io/xxr-inspection-album/weeks/2026-09-03/venue/v-%E6%B7%B1%E5%9C%B3%E5%B8%82%E5%8D%97%E5%B1%B1%E5%8C%BA%E6%B2%99%E6%B2%B3%E8%A1%97%E9%81%93%E6%B7%B1%E5%AE%89%E8%B7%AF33%E5%8F%B7%E6%B7%B1%E9%93%81%E6%87%BF%E5%BA%9C_%E6%B7%B1%E9%93%81%E6%87%BF%E5%BA%9C.html","查看证据")</f>
        <v/>
      </c>
    </row>
    <row r="435">
      <c r="A435" t="inlineStr">
        <is>
          <t>住宅小区</t>
        </is>
      </c>
      <c r="B435" t="inlineStr">
        <is>
          <t>深铁懿府</t>
        </is>
      </c>
      <c r="C435" t="inlineStr">
        <is>
          <t>3.2</t>
        </is>
      </c>
      <c r="D435" s="5" t="inlineStr">
        <is>
          <t>暂存点及其周围环境干净整洁，各类桶整齐、密闭摆放，没有污水积聚或散落垃圾。（2分）</t>
        </is>
      </c>
      <c r="E435" t="inlineStr">
        <is>
          <t>-2</t>
        </is>
      </c>
      <c r="F435" s="5" t="inlineStr">
        <is>
          <t>（2）暂存点及周围环境不整洁（垃圾堆放杂乱、垃圾散落、地面污水积聚等）(-2)（1处问题）</t>
        </is>
      </c>
      <c r="G435">
        <f>HYPERLINK("https://yueling-buddy.github.io/xxr-inspection-album/weeks/2026-09-03/venue/v-%E6%B7%B1%E5%9C%B3%E5%B8%82%E5%8D%97%E5%B1%B1%E5%8C%BA%E6%B2%99%E6%B2%B3%E8%A1%97%E9%81%93%E6%B7%B1%E5%AE%89%E8%B7%AF33%E5%8F%B7%E6%B7%B1%E9%93%81%E6%87%BF%E5%BA%9C_%E6%B7%B1%E9%93%81%E6%87%BF%E5%BA%9C.html","查看证据")</f>
        <v/>
      </c>
    </row>
    <row r="436">
      <c r="A436" t="inlineStr">
        <is>
          <t>城中村</t>
        </is>
      </c>
      <c r="B436" t="inlineStr">
        <is>
          <t>简上村</t>
        </is>
      </c>
      <c r="C436" t="inlineStr">
        <is>
          <t>1.5</t>
        </is>
      </c>
      <c r="D436" s="5" t="inlineStr">
        <is>
          <t>分类标志完整、正确、清晰，各类垃圾收集容器外罩和内桶的颜色正确。（4分）</t>
        </is>
      </c>
      <c r="E436" t="inlineStr">
        <is>
          <t>-4</t>
        </is>
      </c>
      <c r="F436" s="5" t="inlineStr">
        <is>
          <t>（2）分类桶标志缺失或不规范（标志未更新、标志错误、标志模糊等）(-2)（2处问题）； （3）外罩和内桶颜色不正确;（不强制要求垃圾桶套袋，若套袋的，收集容器应按垃圾类别对应颜色套袋）(-2)（1处问题）</t>
        </is>
      </c>
      <c r="G436">
        <f>HYPERLINK("https://yueling-buddy.github.io/xxr-inspection-album/weeks/2026-09-03/venue/v-%E9%BE%99%E5%8D%8E%E5%8C%BA%E6%B0%91%E6%B2%BB%E8%A1%97%E9%81%93%E9%BE%99%E5%A1%98%E7%A4%BE%E5%8C%BA%E7%AE%80%E4%B8%8A%E6%9D%91_%E7%AE%80%E4%B8%8A%E6%9D%91.html","查看证据")</f>
        <v/>
      </c>
    </row>
    <row r="437">
      <c r="A437" t="inlineStr">
        <is>
          <t>城中村</t>
        </is>
      </c>
      <c r="B437" t="inlineStr">
        <is>
          <t>简上村</t>
        </is>
      </c>
      <c r="C437" t="inlineStr">
        <is>
          <t>1.6</t>
        </is>
      </c>
      <c r="D437" s="5" t="inlineStr">
        <is>
          <t>设置洗手设施。（2分）</t>
        </is>
      </c>
      <c r="E437" t="inlineStr">
        <is>
          <t>-2</t>
        </is>
      </c>
      <c r="F437" s="5" t="inlineStr">
        <is>
          <t>（3）洗手设施不规范（包括水龙头损坏或明显松动，水龙头不出水，洗手盆堵塞等）(-1)（4处问题）</t>
        </is>
      </c>
      <c r="G437">
        <f>HYPERLINK("https://yueling-buddy.github.io/xxr-inspection-album/weeks/2026-09-03/venue/v-%E9%BE%99%E5%8D%8E%E5%8C%BA%E6%B0%91%E6%B2%BB%E8%A1%97%E9%81%93%E9%BE%99%E5%A1%98%E7%A4%BE%E5%8C%BA%E7%AE%80%E4%B8%8A%E6%9D%91_%E7%AE%80%E4%B8%8A%E6%9D%91.html","查看证据")</f>
        <v/>
      </c>
    </row>
    <row r="438">
      <c r="A438" t="inlineStr">
        <is>
          <t>城中村</t>
        </is>
      </c>
      <c r="B438" t="inlineStr">
        <is>
          <t>简上村</t>
        </is>
      </c>
      <c r="C438" t="inlineStr">
        <is>
          <t>1.14</t>
        </is>
      </c>
      <c r="D438" s="5" t="inlineStr">
        <is>
          <t>各类垃圾及时清运，投放点及其周围环境干净整洁，没有垃圾满溢、暴露垃圾、杂物堆放、严重积水或明显异味等问题。（6分）</t>
        </is>
      </c>
      <c r="E438" t="inlineStr">
        <is>
          <t>-4</t>
        </is>
      </c>
      <c r="F438" s="5" t="inlineStr">
        <is>
          <t>（3）环境卫生不整洁（投放点有暴露垃圾、杂物堆放，洗手池严重脏污，地面未硬底化，有明显污水污渍等）(-2)（2处问题）</t>
        </is>
      </c>
      <c r="G438">
        <f>HYPERLINK("https://yueling-buddy.github.io/xxr-inspection-album/weeks/2026-09-03/venue/v-%E9%BE%99%E5%8D%8E%E5%8C%BA%E6%B0%91%E6%B2%BB%E8%A1%97%E9%81%93%E9%BE%99%E5%A1%98%E7%A4%BE%E5%8C%BA%E7%AE%80%E4%B8%8A%E6%9D%91_%E7%AE%80%E4%B8%8A%E6%9D%91.html","查看证据")</f>
        <v/>
      </c>
    </row>
    <row r="439">
      <c r="A439" t="inlineStr">
        <is>
          <t>城中村</t>
        </is>
      </c>
      <c r="B439" t="inlineStr">
        <is>
          <t>简上村</t>
        </is>
      </c>
      <c r="C439" t="inlineStr">
        <is>
          <t>1.16</t>
        </is>
      </c>
      <c r="D439" s="5" t="inlineStr">
        <is>
          <t>禁止通过捆绑、卡挡或上锁等方式封闭或遮挡投放口。（4分）</t>
        </is>
      </c>
      <c r="E439" t="inlineStr">
        <is>
          <t>-4</t>
        </is>
      </c>
      <c r="F439" s="5" t="inlineStr">
        <is>
          <t>（5）其他问题(-2)（3处问题）</t>
        </is>
      </c>
      <c r="G439">
        <f>HYPERLINK("https://yueling-buddy.github.io/xxr-inspection-album/weeks/2026-09-03/venue/v-%E9%BE%99%E5%8D%8E%E5%8C%BA%E6%B0%91%E6%B2%BB%E8%A1%97%E9%81%93%E9%BE%99%E5%A1%98%E7%A4%BE%E5%8C%BA%E7%AE%80%E4%B8%8A%E6%9D%91_%E7%AE%80%E4%B8%8A%E6%9D%91.html","查看证据")</f>
        <v/>
      </c>
    </row>
    <row r="440">
      <c r="A440" t="inlineStr">
        <is>
          <t>城中村</t>
        </is>
      </c>
      <c r="B440" t="inlineStr">
        <is>
          <t>简上村</t>
        </is>
      </c>
      <c r="C440" t="inlineStr">
        <is>
          <t>1.17</t>
        </is>
      </c>
      <c r="D440" s="5" t="inlineStr">
        <is>
          <t>转运桶应在黄线划定区域内摆放整齐并保持全天关闭（作业状态除外），禁止罩外摆桶供居民投放。（6分）</t>
        </is>
      </c>
      <c r="E440" t="inlineStr">
        <is>
          <t>-6</t>
        </is>
      </c>
      <c r="F440" s="5" t="inlineStr">
        <is>
          <t>（3）监控范围外罩外摆桶并开盖供居民投放(-2)（3处问题）</t>
        </is>
      </c>
      <c r="G440">
        <f>HYPERLINK("https://yueling-buddy.github.io/xxr-inspection-album/weeks/2026-09-03/venue/v-%E9%BE%99%E5%8D%8E%E5%8C%BA%E6%B0%91%E6%B2%BB%E8%A1%97%E9%81%93%E9%BE%99%E5%A1%98%E7%A4%BE%E5%8C%BA%E7%AE%80%E4%B8%8A%E6%9D%91_%E7%AE%80%E4%B8%8A%E6%9D%91.html","查看证据")</f>
        <v/>
      </c>
    </row>
    <row r="441">
      <c r="A441" t="inlineStr">
        <is>
          <t>城中村</t>
        </is>
      </c>
      <c r="B441" t="inlineStr">
        <is>
          <t>简上村</t>
        </is>
      </c>
      <c r="C441" t="inlineStr">
        <is>
          <t>2.1</t>
        </is>
      </c>
      <c r="D441" s="5" t="inlineStr">
        <is>
          <t>设置标识牌，外观使用“深i回收”标识，封闭围挡，地面硬底化。（2分）</t>
        </is>
      </c>
      <c r="E441" t="inlineStr">
        <is>
          <t>-2</t>
        </is>
      </c>
      <c r="F441" s="5" t="inlineStr">
        <is>
          <t>（3）无标识牌，或标识牌被遮挡、模糊/脱落/未更新等(-2)（1处问题）</t>
        </is>
      </c>
      <c r="G441">
        <f>HYPERLINK("https://yueling-buddy.github.io/xxr-inspection-album/weeks/2026-09-03/venue/v-%E9%BE%99%E5%8D%8E%E5%8C%BA%E6%B0%91%E6%B2%BB%E8%A1%97%E9%81%93%E9%BE%99%E5%A1%98%E7%A4%BE%E5%8C%BA%E7%AE%80%E4%B8%8A%E6%9D%91_%E7%AE%80%E4%B8%8A%E6%9D%91.html","查看证据")</f>
        <v/>
      </c>
    </row>
    <row r="442">
      <c r="A442" t="inlineStr">
        <is>
          <t>城中村</t>
        </is>
      </c>
      <c r="B442" t="inlineStr">
        <is>
          <t>简上村</t>
        </is>
      </c>
      <c r="C442" t="inlineStr">
        <is>
          <t>2.4</t>
        </is>
      </c>
      <c r="D442" s="5" t="inlineStr">
        <is>
          <t>暂存点及其周围环境干净整洁，没有污水积聚或散落垃圾，禁止存放易燃易爆危险品，禁止违规接电、住人。（2分）</t>
        </is>
      </c>
      <c r="E442" t="inlineStr">
        <is>
          <t>-2</t>
        </is>
      </c>
      <c r="F442" s="5" t="inlineStr">
        <is>
          <t>（4）暂存点外堆放废旧家具等大件垃圾(-2)（1处问题）</t>
        </is>
      </c>
      <c r="G442">
        <f>HYPERLINK("https://yueling-buddy.github.io/xxr-inspection-album/weeks/2026-09-03/venue/v-%E9%BE%99%E5%8D%8E%E5%8C%BA%E6%B0%91%E6%B2%BB%E8%A1%97%E9%81%93%E9%BE%99%E5%A1%98%E7%A4%BE%E5%8C%BA%E7%AE%80%E4%B8%8A%E6%9D%91_%E7%AE%80%E4%B8%8A%E6%9D%91.html","查看证据")</f>
        <v/>
      </c>
    </row>
    <row r="443">
      <c r="A443" t="inlineStr">
        <is>
          <t>住宅小区</t>
        </is>
      </c>
      <c r="B443" t="inlineStr">
        <is>
          <t>上丰花园</t>
        </is>
      </c>
      <c r="C443" t="inlineStr">
        <is>
          <t>1.13</t>
        </is>
      </c>
      <c r="D443" s="5" t="inlineStr">
        <is>
          <t>收集容器外壁及内桶保持干净整洁，避免陈旧性脏污，收集容器内无积水。（4分）</t>
        </is>
      </c>
      <c r="E443" t="inlineStr">
        <is>
          <t>-2</t>
        </is>
      </c>
      <c r="F443" s="5" t="inlineStr">
        <is>
          <t>（2）收集容器外壁、内桶存在明显陈旧性脏污，大片锈迹等(-2)（1处问题）</t>
        </is>
      </c>
      <c r="G443">
        <f>HYPERLINK("https://yueling-buddy.github.io/xxr-inspection-album/weeks/2026-09-03/venue/v-%E6%B7%B1%E5%9C%B3%E5%B8%82%E9%BE%99%E5%8D%8E%E5%8C%BA%E6%B0%91%E6%B2%BB%E8%A1%97%E9%81%93%E9%BE%99%E5%A1%98%E7%A4%BE%E5%8C%BA%E7%AE%80%E4%B8%8A%E6%9D%91%E4%B8%8A%E4%B8%B0%E8%8A%B1%E5%9B%AD_%E4%B8%8A%E4%B8%B0%E8%8A%B1%E5%9B%AD.html","查看证据")</f>
        <v/>
      </c>
    </row>
    <row r="444">
      <c r="A444" t="inlineStr">
        <is>
          <t>住宅小区</t>
        </is>
      </c>
      <c r="B444" t="inlineStr">
        <is>
          <t>上丰花园</t>
        </is>
      </c>
      <c r="C444" t="inlineStr">
        <is>
          <t>1.17</t>
        </is>
      </c>
      <c r="D444" s="5" t="inlineStr">
        <is>
          <t>转运桶应在黄线划定区域内摆放整齐并保持全天关闭（作业状态除外），禁止罩外摆桶供居民投放。（6分）</t>
        </is>
      </c>
      <c r="E444" t="inlineStr">
        <is>
          <t>-2</t>
        </is>
      </c>
      <c r="F444" s="5" t="inlineStr">
        <is>
          <t>（3）监控范围外罩外摆桶并开盖供居民投放(-2)（1处问题）</t>
        </is>
      </c>
      <c r="G444">
        <f>HYPERLINK("https://yueling-buddy.github.io/xxr-inspection-album/weeks/2026-09-03/venue/v-%E6%B7%B1%E5%9C%B3%E5%B8%82%E9%BE%99%E5%8D%8E%E5%8C%BA%E6%B0%91%E6%B2%BB%E8%A1%97%E9%81%93%E9%BE%99%E5%A1%98%E7%A4%BE%E5%8C%BA%E7%AE%80%E4%B8%8A%E6%9D%91%E4%B8%8A%E4%B8%B0%E8%8A%B1%E5%9B%AD_%E4%B8%8A%E4%B8%B0%E8%8A%B1%E5%9B%AD.html","查看证据")</f>
        <v/>
      </c>
    </row>
    <row r="445">
      <c r="A445" t="inlineStr">
        <is>
          <t>住宅小区</t>
        </is>
      </c>
      <c r="B445" t="inlineStr">
        <is>
          <t>上丰花园</t>
        </is>
      </c>
      <c r="C445" t="inlineStr">
        <is>
          <t>2.1</t>
        </is>
      </c>
      <c r="D445" s="5" t="inlineStr">
        <is>
          <t>设置标识牌，外观使用“深i回收”标识，封闭围挡，地面硬底化。（2分）</t>
        </is>
      </c>
      <c r="E445" t="inlineStr">
        <is>
          <t>-2</t>
        </is>
      </c>
      <c r="F445" s="5" t="inlineStr">
        <is>
          <t>（3）无标识牌，或标识牌被遮挡、模糊/脱落/未更新等(-2)（1处问题）</t>
        </is>
      </c>
      <c r="G445">
        <f>HYPERLINK("https://yueling-buddy.github.io/xxr-inspection-album/weeks/2026-09-03/venue/v-%E6%B7%B1%E5%9C%B3%E5%B8%82%E9%BE%99%E5%8D%8E%E5%8C%BA%E6%B0%91%E6%B2%BB%E8%A1%97%E9%81%93%E9%BE%99%E5%A1%98%E7%A4%BE%E5%8C%BA%E7%AE%80%E4%B8%8A%E6%9D%91%E4%B8%8A%E4%B8%B0%E8%8A%B1%E5%9B%AD_%E4%B8%8A%E4%B8%B0%E8%8A%B1%E5%9B%AD.html","查看证据")</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2026-09-15T09:13:59Z</dcterms:created>
  <dcterms:modified xmlns:dcterms="http://purl.org/dc/terms/" xmlns:xsi="http://www.w3.org/2001/XMLSchema-instance" xsi:type="dcterms:W3CDTF">2026-09-15T09:13:59Z</dcterms:modified>
</cp:coreProperties>
</file>